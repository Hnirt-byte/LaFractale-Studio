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4b26fa52bf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" sheetId="1" r:id="R0d77edacc27a4795"/>
    <x:sheet xmlns:r="http://schemas.openxmlformats.org/officeDocument/2006/relationships" name="56 pages" sheetId="2" r:id="Rc8750cfda94149e8"/>
    <x:sheet xmlns:r="http://schemas.openxmlformats.org/officeDocument/2006/relationships" name="Lexique 18 mots" sheetId="3" r:id="R3c27de7bc2964645"/>
    <x:sheet xmlns:r="http://schemas.openxmlformats.org/officeDocument/2006/relationships" name="Corrigés 4 pages" sheetId="4" r:id="Re158393d4ea94e64"/>
    <x:sheet xmlns:r="http://schemas.openxmlformats.org/officeDocument/2006/relationships" name="Décisions" sheetId="5" r:id="Rae329b1ce14c4c6a"/>
    <x:sheet xmlns:r="http://schemas.openxmlformats.org/officeDocument/2006/relationships" name="Provenance" sheetId="6" r:id="Rc4684b49b2784b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854D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92F40"/>
      </x:patternFill>
    </x:fill>
    <x:fill>
      <x:patternFill patternType="solid">
        <x:fgColor rgb="FF244E68"/>
      </x:patternFill>
    </x:fill>
    <x:fill>
      <x:patternFill patternType="solid">
        <x:fgColor rgb="FFFFF3C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EE2E2"/>
        </x:patternFill>
      </x:fill>
    </x:dxf>
    <x:dxf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d92c31dcd9441d" /><Relationship Type="http://schemas.openxmlformats.org/officeDocument/2006/relationships/theme" Target="/xl/theme/theme1.xml" Id="Ree1049e38dd84779" /><Relationship Type="http://schemas.openxmlformats.org/officeDocument/2006/relationships/sharedStrings" Target="/xl/sharedStrings.xml" Id="Rbd67ad5ae82b4df9" /><Relationship Type="http://schemas.openxmlformats.org/officeDocument/2006/relationships/worksheet" Target="/xl/worksheets/sheet1.xml" Id="R0d77edacc27a4795" /><Relationship Type="http://schemas.openxmlformats.org/officeDocument/2006/relationships/worksheet" Target="/xl/worksheets/sheet2.xml" Id="Rc8750cfda94149e8" /><Relationship Type="http://schemas.openxmlformats.org/officeDocument/2006/relationships/worksheet" Target="/xl/worksheets/sheet3.xml" Id="R3c27de7bc2964645" /><Relationship Type="http://schemas.openxmlformats.org/officeDocument/2006/relationships/worksheet" Target="/xl/worksheets/sheet4.xml" Id="Re158393d4ea94e64" /><Relationship Type="http://schemas.openxmlformats.org/officeDocument/2006/relationships/worksheet" Target="/xl/worksheets/sheet5.xml" Id="Rae329b1ce14c4c6a" /><Relationship Type="http://schemas.openxmlformats.org/officeDocument/2006/relationships/worksheet" Target="/xl/worksheets/sheet6.xml" Id="Rc4684b49b2784b6f" /></Relationships>
</file>

<file path=xl/tables/table1.xml><?xml version="1.0" encoding="utf-8"?>
<x:table xmlns:x="http://schemas.openxmlformats.org/spreadsheetml/2006/main" id="1" name="Plan56Pages" displayName="Plan56Pages" ref="A1:O57" headerRowCount="1" totalsRowCount="0" totalsRowShown="0">
  <x:tableColumns count="15">
    <x:tableColumn id="1" name="Page"/>
    <x:tableColumn id="2" name="Chapitre"/>
    <x:tableColumn id="3" name="Titre B2-B"/>
    <x:tableColumn id="4" name="Titre proposé"/>
    <x:tableColumn id="5" name="Mécanique"/>
    <x:tableColumn id="6" name="Difficulté"/>
    <x:tableColumn id="7" name="Objectif"/>
    <x:tableColumn id="8" name="Mots FR / EN"/>
    <x:tableColumn id="9" name="Consigne FR"/>
    <x:tableColumn id="10" name="Consigne EN"/>
    <x:tableColumn id="11" name="Rôle Pip"/>
    <x:tableColumn id="12" name="Asset candidat"/>
    <x:tableColumn id="13" name="Solution"/>
    <x:tableColumn id="14" name="Point à valider"/>
    <x:tableColumn id="15" name="Statu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rteCorriges" displayName="CarteCorriges" ref="A1:F35" headerRowCount="1" totalsRowCount="0" totalsRowShown="0">
  <x:tableColumns count="6">
    <x:tableColumn id="1" name="Fiche p."/>
    <x:tableColumn id="2" name="Activité"/>
    <x:tableColumn id="3" name="Mécanique"/>
    <x:tableColumn id="4" name="Page solution proposée"/>
    <x:tableColumn id="5" name="Format"/>
    <x:tableColumn id="6" name="Stat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c3e4bd3f4a47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a40139cfa6d4763" /></Relationships>
</file>

<file path=xl/worksheets/sheet1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35" hidden="0" customWidth="1"/>
  </x:cols>
  <x:sheetData>
    <x:row r="1" ht="44" customHeight="1">
      <x:c r="A1" s="10" t="str">
        <x:v>LA FRACTALE  ·  B3-A  |  Architecture éditoriale Halloween</x:v>
      </x:c>
      <x:c r="B1" s="10"/>
      <x:c r="C1" s="10"/>
      <x:c r="D1" s="10"/>
      <x:c r="E1" s="10"/>
      <x:c r="F1" s="10"/>
    </x:row>
    <x:row r="3">
      <x:c r="A3" s="13" t="str">
        <x:v>Indicateur</x:v>
      </x:c>
      <x:c r="B3" s="13" t="str">
        <x:v>Valeur</x:v>
      </x:c>
    </x:row>
    <x:row r="4" ht="27" customHeight="1">
      <x:c r="A4" t="str">
        <x:v>Pages intérieures</x:v>
      </x:c>
      <x:c r="B4" t="n">
        <x:f>COUNTA('56 pages'!A2:A57)</x:f>
        <x:v>56</x:v>
      </x:c>
    </x:row>
    <x:row r="5" ht="27" customHeight="1">
      <x:c r="A5" t="str">
        <x:v>Fiches d'activités</x:v>
      </x:c>
      <x:c r="B5" t="n">
        <x:f>COUNTIFS('56 pages'!A2:A57,"&gt;=3",'56 pages'!A2:A57,"&lt;=49")</x:f>
        <x:v>47</x:v>
      </x:c>
    </x:row>
    <x:row r="6" ht="27" customHeight="1">
      <x:c r="A6" t="str">
        <x:v>Diplôme</x:v>
      </x:c>
      <x:c r="B6" t="n">
        <x:f>COUNTIF('56 pages'!E2:E57,"diploma")</x:f>
        <x:v>1</x:v>
      </x:c>
    </x:row>
    <x:row r="7" ht="27" customHeight="1">
      <x:c r="A7" t="str">
        <x:v>Pages corrigés</x:v>
      </x:c>
      <x:c r="B7" t="n">
        <x:f>COUNTIF('56 pages'!E2:E57,"answers")</x:f>
        <x:v>4</x:v>
      </x:c>
    </x:row>
    <x:row r="8" ht="27" customHeight="1">
      <x:c r="A8" t="str">
        <x:v>Pages ouvertures / clôture / lexique</x:v>
      </x:c>
      <x:c r="B8" t="n">
        <x:f>B4-B5-B6-B7</x:f>
        <x:v>4</x:v>
      </x:c>
    </x:row>
    <x:row r="9" ht="27" customHeight="1">
      <x:c r="A9" t="str">
        <x:v>Corrigés objectifs (dessin + chiffre)</x:v>
      </x:c>
      <x:c r="B9" t="n">
        <x:f>COUNTIF('56 pages'!M2:M57,"graphique")+COUNTIF('56 pages'!M2:M57,"chiffre")</x:f>
        <x:v>34</x:v>
      </x:c>
    </x:row>
    <x:row r="10" ht="27" customHeight="1">
      <x:c r="A10" t="str">
        <x:v>Pages encore à valider</x:v>
      </x:c>
      <x:c r="B10" t="n">
        <x:f>COUNTIF('56 pages'!O2:O57,"À VALIDER")</x:f>
        <x:v>56</x:v>
      </x:c>
    </x:row>
    <x:row r="11" ht="27" customHeight="1">
      <x:c r="A11" t="str">
        <x:v>Statut produit</x:v>
      </x:c>
      <x:c r="B11" t="str">
        <x:v>KDP FORBIDDEN</x:v>
      </x:c>
    </x:row>
    <x:row r="14">
      <x:c r="A14" s="13" t="str">
        <x:v>DÉCISIONS AVANT B3-B</x:v>
      </x:c>
      <x:c r="B14" s="13"/>
      <x:c r="C14" s="13"/>
      <x:c r="D14" s="13"/>
      <x:c r="E14" s="13"/>
      <x:c r="F14" s="13"/>
    </x:row>
    <x:row r="15">
      <x:c r="A15" t="str">
        <x:v>1. 4 pages de corrigés pour 34 réponses : preuve de lisibilité à 100 % requise</x:v>
      </x:c>
    </x:row>
    <x:row r="16">
      <x:c r="A16" t="str">
        <x:v>2. Vérifier la conformité aux trois pages pilotes C4 sur le main actuel</x:v>
      </x:c>
    </x:row>
    <x:row r="17">
      <x:c r="A17" t="str">
        <x:v>3. Valider les formulations françaises/anglaises et les nouveaux assets</x:v>
      </x:c>
    </x:row>
    <x:row r="18">
      <x:c r="A18" t="str">
        <x:v>4. Préférence intérieur sans fond perdu : à confirmer sur le fichier complet</x:v>
      </x:c>
    </x:row>
    <x:row r="20">
      <x:c r="A20" s="17" t="str">
        <x:v>Attention : plan issu du ZIP B2-B historique, non du Git HEAD actuel.</x:v>
      </x:c>
      <x:c r="B20" s="17"/>
      <x:c r="C20" s="17"/>
      <x:c r="D20" s="17"/>
      <x:c r="E20" s="17"/>
      <x:c r="F20" s="17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5" hidden="0" customWidth="1"/>
    <x:col min="3" max="3" width="27" hidden="0" customWidth="1"/>
    <x:col min="4" max="4" width="30" hidden="0" customWidth="1"/>
    <x:col min="5" max="5" width="17" hidden="0" customWidth="1"/>
    <x:col min="6" max="6" width="11" hidden="0" customWidth="1"/>
    <x:col min="7" max="7" width="42" hidden="0" customWidth="1"/>
    <x:col min="8" max="8" width="29" hidden="0" customWidth="1"/>
    <x:col min="9" max="9" width="46" hidden="0" customWidth="1"/>
    <x:col min="10" max="10" width="42" hidden="0" customWidth="1"/>
    <x:col min="11" max="11" width="18" hidden="0" customWidth="1"/>
    <x:col min="12" max="12" width="28" hidden="0" customWidth="1"/>
    <x:col min="13" max="13" width="18" hidden="0" customWidth="1"/>
    <x:col min="14" max="14" width="57" hidden="0" customWidth="1"/>
    <x:col min="15" max="15" width="19" hidden="0" customWidth="1"/>
  </x:cols>
  <x:sheetData>
    <x:row r="1" ht="33" customHeight="1">
      <x:c r="A1" s="4" t="str">
        <x:v>Page</x:v>
      </x:c>
      <x:c r="B1" s="4" t="str">
        <x:v>Chapitre</x:v>
      </x:c>
      <x:c r="C1" s="4" t="str">
        <x:v>Titre B2-B</x:v>
      </x:c>
      <x:c r="D1" s="4" t="str">
        <x:v>Titre proposé</x:v>
      </x:c>
      <x:c r="E1" s="4" t="str">
        <x:v>Mécanique</x:v>
      </x:c>
      <x:c r="F1" s="4" t="str">
        <x:v>Difficulté</x:v>
      </x:c>
      <x:c r="G1" s="4" t="str">
        <x:v>Objectif</x:v>
      </x:c>
      <x:c r="H1" s="4" t="str">
        <x:v>Mots FR / EN</x:v>
      </x:c>
      <x:c r="I1" s="4" t="str">
        <x:v>Consigne FR</x:v>
      </x:c>
      <x:c r="J1" s="4" t="str">
        <x:v>Consigne EN</x:v>
      </x:c>
      <x:c r="K1" s="4" t="str">
        <x:v>Rôle Pip</x:v>
      </x:c>
      <x:c r="L1" s="4" t="str">
        <x:v>Asset candidat</x:v>
      </x:c>
      <x:c r="M1" s="4" t="str">
        <x:v>Solution</x:v>
      </x:c>
      <x:c r="N1" s="4" t="str">
        <x:v>Point à valider</x:v>
      </x:c>
      <x:c r="O1" s="4" t="str">
        <x:v>Statut</x:v>
      </x:c>
    </x:row>
    <x:row r="2" ht="27" customHeight="1">
      <x:c r="A2" s="8" t="n">
        <x:v>1</x:v>
      </x:c>
      <x:c r="B2" s="8" t="str">
        <x:v>Ouverture</x:v>
      </x:c>
      <x:c r="C2" s="8" t="str">
        <x:v>Page de titre</x:v>
      </x:c>
      <x:c r="D2" s="8" t="str">
        <x:v>Mon Halloween bilingue avec Pip</x:v>
      </x:c>
      <x:c r="E2" s="8" t="str">
        <x:v>front_matter</x:v>
      </x:c>
      <x:c r="F2" s="8" t="str">
        <x:v>—</x:v>
      </x:c>
      <x:c r="G2" s="8" t="str">
        <x:v>Présenter la mission et les deux langues</x:v>
      </x:c>
      <x:c r="H2" s="8" t="str">
        <x:v>Accueil / welcome</x:v>
      </x:c>
      <x:c r="I2" s="8" t="str">
        <x:v>Bienvenue dans l’aventure de Pip !</x:v>
      </x:c>
      <x:c r="J2" s="8" t="str">
        <x:v>Welcome to Pip’s adventure!</x:v>
      </x:c>
      <x:c r="K2" s="8" t="str">
        <x:v>accueil</x:v>
      </x:c>
      <x:c r="L2" s="8" t="str">
        <x:v>pip-accueil-v1</x:v>
      </x:c>
      <x:c r="M2" s="8" t="str">
        <x:v>aucun</x:v>
      </x:c>
      <x:c r="N2" s="8" t="str">
        <x:v>Page de titre intérieure, sans surcharge; ne pas confondre avec couverture</x:v>
      </x:c>
      <x:c r="O2" s="8" t="str">
        <x:v>À VALIDER</x:v>
      </x:c>
    </x:row>
    <x:row r="3" ht="27" customHeight="1">
      <x:c r="A3" s="8" t="n">
        <x:v>2</x:v>
      </x:c>
      <x:c r="B3" s="8" t="str">
        <x:v>Ouverture</x:v>
      </x:c>
      <x:c r="C3" s="8" t="str">
        <x:v>Bienvenue et guide parents</x:v>
      </x:c>
      <x:c r="D3" s="8" t="str">
        <x:v>Bienvenue dans le monde de Pip</x:v>
      </x:c>
      <x:c r="E3" s="8" t="str">
        <x:v>front_matter</x:v>
      </x:c>
      <x:c r="F3" s="8" t="str">
        <x:v>—</x:v>
      </x:c>
      <x:c r="G3" s="8" t="str">
        <x:v>Expliquer lecture accompagnée, consignes et symboles</x:v>
      </x:c>
      <x:c r="H3" s="8" t="str">
        <x:v>Accueil / welcome</x:v>
      </x:c>
      <x:c r="I3" s="8" t="str">
        <x:v>Un adulte lit les consignes. Joue, observe et apprends !</x:v>
      </x:c>
      <x:c r="J3" s="8" t="str">
        <x:v>Grown-ups can read the instructions. Let’s play!</x:v>
      </x:c>
      <x:c r="K3" s="8" t="str">
        <x:v>accueil</x:v>
      </x:c>
      <x:c r="L3" s="8" t="str">
        <x:v>pip-accueil-v1</x:v>
      </x:c>
      <x:c r="M3" s="8" t="str">
        <x:v>aucun</x:v>
      </x:c>
      <x:c r="N3" s="8" t="str">
        <x:v>Préciser activités non notées, crayons adaptés, pas d’anglais autonome requis</x:v>
      </x:c>
      <x:c r="O3" s="8" t="str">
        <x:v>À VALIDER</x:v>
      </x:c>
    </x:row>
    <x:row r="4" ht="27" customHeight="1">
      <x:c r="A4" s="8" t="n">
        <x:v>3</x:v>
      </x:c>
      <x:c r="B4" s="8" t="str">
        <x:v>Invitation</x:v>
      </x:c>
      <x:c r="C4" s="8" t="str">
        <x:v>Pip reçoit une invitation</x:v>
      </x:c>
      <x:c r="D4" s="8" t="str">
        <x:v>Pip reçoit une invitation</x:v>
      </x:c>
      <x:c r="E4" s="8" t="str">
        <x:v>coloring</x:v>
      </x:c>
      <x:c r="F4" s="8" t="str">
        <x:v>1</x:v>
      </x:c>
      <x:c r="G4" s="8" t="str">
        <x:v>Colorier des zones larges; reconnaître fantôme</x:v>
      </x:c>
      <x:c r="H4" s="8" t="str">
        <x:v>fantôme / ghost</x:v>
      </x:c>
      <x:c r="I4" s="8" t="str">
        <x:v>Colorie Pip et son invitation.</x:v>
      </x:c>
      <x:c r="J4" s="8" t="str">
        <x:v>Color Pip and his invitation.</x:v>
      </x:c>
      <x:c r="K4" s="8" t="str">
        <x:v>accueil</x:v>
      </x:c>
      <x:c r="L4" s="8" t="str">
        <x:v>pip-accueil-v1</x:v>
      </x:c>
      <x:c r="M4" s="8" t="str">
        <x:v>libre</x:v>
      </x:c>
      <x:c r="N4" s="8" t="str">
        <x:v>Illustration invitation à créer/approuver; zones larges</x:v>
      </x:c>
      <x:c r="O4" s="8" t="str">
        <x:v>À VALIDER</x:v>
      </x:c>
    </x:row>
    <x:row r="5" ht="27" customHeight="1">
      <x:c r="A5" s="8" t="n">
        <x:v>4</x:v>
      </x:c>
      <x:c r="B5" s="8" t="str">
        <x:v>Invitation</x:v>
      </x:c>
      <x:c r="C5" s="8" t="str">
        <x:v>La citrouille bloque le chemin</x:v>
      </x:c>
      <x:c r="D5" s="8" t="str">
        <x:v>Aide Pip à trouver la sortie</x:v>
      </x:c>
      <x:c r="E5" s="8" t="str">
        <x:v>maze</x:v>
      </x:c>
      <x:c r="F5" s="8" t="str">
        <x:v>1</x:v>
      </x:c>
      <x:c r="G5" s="8" t="str">
        <x:v>Suivre un itinéraire simple, sans piège</x:v>
      </x:c>
      <x:c r="H5" s="8" t="str">
        <x:v>fantôme / ghost</x:v>
      </x:c>
      <x:c r="I5" s="8" t="str">
        <x:v>Aide Pip à trouver la sortie du labyrinthe.</x:v>
      </x:c>
      <x:c r="J5" s="8" t="str">
        <x:v>Help Pip find the way out.</x:v>
      </x:c>
      <x:c r="K5" s="8" t="str">
        <x:v>reflexion</x:v>
      </x:c>
      <x:c r="L5" s="8" t="str">
        <x:v>pip-reflexion-v2</x:v>
      </x:c>
      <x:c r="M5" s="8" t="str">
        <x:v>graphique</x:v>
      </x:c>
      <x:c r="N5" s="8" t="str">
        <x:v>Pilote C4 : préserver le contenu validé; vérifier titre exact dans HEAD | Pilote C4 : vérifier titre/consigne exacts sur main | Solution unique à vérifier | Ancien mot citrouille à réconcilier</x:v>
      </x:c>
      <x:c r="O5" s="8" t="str">
        <x:v>À VALIDER</x:v>
      </x:c>
    </x:row>
    <x:row r="6" ht="27" customHeight="1">
      <x:c r="A6" s="8" t="n">
        <x:v>5</x:v>
      </x:c>
      <x:c r="B6" s="8" t="str">
        <x:v>Invitation</x:v>
      </x:c>
      <x:c r="C6" s="8" t="str">
        <x:v>Qui est dans le jardin ?</x:v>
      </x:c>
      <x:c r="D6" s="8" t="str">
        <x:v>Qui se cache dans le jardin ?</x:v>
      </x:c>
      <x:c r="E6" s="8" t="str">
        <x:v>find_count</x:v>
      </x:c>
      <x:c r="F6" s="8" t="str">
        <x:v>1</x:v>
      </x:c>
      <x:c r="G6" s="8" t="str">
        <x:v>Observer deux espèces, dénombrer 1–3</x:v>
      </x:c>
      <x:c r="H6" s="8" t="str">
        <x:v>chauve-souris / bat; chat / cat</x:v>
      </x:c>
      <x:c r="I6" s="8" t="str">
        <x:v>Trouve les chats et les chauves-souris.</x:v>
      </x:c>
      <x:c r="J6" s="8" t="str">
        <x:v>Find the cats and bats.</x:v>
      </x:c>
      <x:c r="K6" s="8" t="str">
        <x:v>indication</x:v>
      </x:c>
      <x:c r="L6" s="8" t="str">
        <x:v>pip-indication-v1</x:v>
      </x:c>
      <x:c r="M6" s="8" t="str">
        <x:v>graphique</x:v>
      </x:c>
      <x:c r="N6" s="8" t="str">
        <x:v>Objets comptables explicites; éviter les arrière-plans confus | Solution unique à vérifier</x:v>
      </x:c>
      <x:c r="O6" s="8" t="str">
        <x:v>À VALIDER</x:v>
      </x:c>
    </x:row>
    <x:row r="7" ht="27" customHeight="1">
      <x:c r="A7" s="8" t="n">
        <x:v>6</x:v>
      </x:c>
      <x:c r="B7" s="8" t="str">
        <x:v>Invitation</x:v>
      </x:c>
      <x:c r="C7" s="8" t="str">
        <x:v>La lune mystérieuse</x:v>
      </x:c>
      <x:c r="D7" s="8" t="str">
        <x:v>Le croissant de lune</x:v>
      </x:c>
      <x:c r="E7" s="8" t="str">
        <x:v>connect_dots</x:v>
      </x:c>
      <x:c r="F7" s="8" t="str">
        <x:v>1</x:v>
      </x:c>
      <x:c r="G7" s="8" t="str">
        <x:v>Relier 8 points dans l’ordre et former une silhouette</x:v>
      </x:c>
      <x:c r="H7" s="8" t="str">
        <x:v>lune / moon</x:v>
      </x:c>
      <x:c r="I7" s="8" t="str">
        <x:v>Relie les points de 1 à 8.</x:v>
      </x:c>
      <x:c r="J7" s="8" t="str">
        <x:v>Connect dots 1 to 8.</x:v>
      </x:c>
      <x:c r="K7" s="8" t="str">
        <x:v>indication</x:v>
      </x:c>
      <x:c r="L7" s="8" t="str">
        <x:v>pip-indication-v1</x:v>
      </x:c>
      <x:c r="M7" s="8" t="str">
        <x:v>graphique</x:v>
      </x:c>
      <x:c r="N7" s="8" t="str">
        <x:v>Pilote C4 : 8 points exactement, croissant fermé et aucune collision | Pilote C4 : vérifier titre/consigne exacts sur main | Solution unique à vérifier</x:v>
      </x:c>
      <x:c r="O7" s="8" t="str">
        <x:v>À VALIDER</x:v>
      </x:c>
    </x:row>
    <x:row r="8" ht="27" customHeight="1">
      <x:c r="A8" s="8" t="n">
        <x:v>7</x:v>
      </x:c>
      <x:c r="B8" s="8" t="str">
        <x:v>Invitation</x:v>
      </x:c>
      <x:c r="C8" s="8" t="str">
        <x:v>L’ombre de la citrouille</x:v>
      </x:c>
      <x:c r="D8" s="8" t="str">
        <x:v>L’ombre de la citrouille</x:v>
      </x:c>
      <x:c r="E8" s="8" t="str">
        <x:v>shadow_match</x:v>
      </x:c>
      <x:c r="F8" s="8" t="str">
        <x:v>1</x:v>
      </x:c>
      <x:c r="G8" s="8" t="str">
        <x:v>Discriminer des silhouettes simples</x:v>
      </x:c>
      <x:c r="H8" s="8" t="str">
        <x:v>citrouille / pumpkin</x:v>
      </x:c>
      <x:c r="I8" s="8" t="str">
        <x:v>Relie chaque citrouille à son ombre.</x:v>
      </x:c>
      <x:c r="J8" s="8" t="str">
        <x:v>Match each pumpkin to its shadow.</x:v>
      </x:c>
      <x:c r="K8" s="8" t="str">
        <x:v>reflexion</x:v>
      </x:c>
      <x:c r="L8" s="8" t="str">
        <x:v>pip-reflexion-v2</x:v>
      </x:c>
      <x:c r="M8" s="8" t="str">
        <x:v>graphique</x:v>
      </x:c>
      <x:c r="N8" s="8" t="str">
        <x:v>3 paires maxi, silhouettes non ambiguës | Solution unique à vérifier</x:v>
      </x:c>
      <x:c r="O8" s="8" t="str">
        <x:v>À VALIDER</x:v>
      </x:c>
    </x:row>
    <x:row r="9" ht="27" customHeight="1">
      <x:c r="A9" s="8" t="n">
        <x:v>8</x:v>
      </x:c>
      <x:c r="B9" s="8" t="str">
        <x:v>Invitation</x:v>
      </x:c>
      <x:c r="C9" s="8" t="str">
        <x:v>Décore l’invitation</x:v>
      </x:c>
      <x:c r="D9" s="8" t="str">
        <x:v>Décore l’invitation</x:v>
      </x:c>
      <x:c r="E9" s="8" t="str">
        <x:v>creative_color</x:v>
      </x:c>
      <x:c r="F9" s="8" t="str">
        <x:v>1</x:v>
      </x:c>
      <x:c r="G9" s="8" t="str">
        <x:v>Motricité libre; placer des étoiles</x:v>
      </x:c>
      <x:c r="H9" s="8" t="str">
        <x:v>étoile / star</x:v>
      </x:c>
      <x:c r="I9" s="8" t="str">
        <x:v>Dessine des étoiles autour de l’invitation.</x:v>
      </x:c>
      <x:c r="J9" s="8" t="str">
        <x:v>Draw stars around the invitation.</x:v>
      </x:c>
      <x:c r="K9" s="8" t="str">
        <x:v>encouragement</x:v>
      </x:c>
      <x:c r="L9" s="8" t="str">
        <x:v>pip-encouragement-v1</x:v>
      </x:c>
      <x:c r="M9" s="8" t="str">
        <x:v>libre</x:v>
      </x:c>
      <x:c r="N9" s="8" t="str">
        <x:v>Grande zone créative, illustration d’invitation cohérente</x:v>
      </x:c>
      <x:c r="O9" s="8" t="str">
        <x:v>À VALIDER</x:v>
      </x:c>
    </x:row>
    <x:row r="10" ht="27" customHeight="1">
      <x:c r="A10" s="8" t="n">
        <x:v>9</x:v>
      </x:c>
      <x:c r="B10" s="8" t="str">
        <x:v>Invitation</x:v>
      </x:c>
      <x:c r="C10" s="8" t="str">
        <x:v>Les chemins de Pip</x:v>
      </x:c>
      <x:c r="D10" s="8" t="str">
        <x:v>Les chemins de Pip</x:v>
      </x:c>
      <x:c r="E10" s="8" t="str">
        <x:v>trace_paths</x:v>
      </x:c>
      <x:c r="F10" s="8" t="str">
        <x:v>1</x:v>
      </x:c>
      <x:c r="G10" s="8" t="str">
        <x:v>Tracer des lignes droites et courbes</x:v>
      </x:c>
      <x:c r="H10" s="8" t="str">
        <x:v>fantôme / ghost</x:v>
      </x:c>
      <x:c r="I10" s="8" t="str">
        <x:v>Repasse les chemins pointillés.</x:v>
      </x:c>
      <x:c r="J10" s="8" t="str">
        <x:v>Trace the dotted paths.</x:v>
      </x:c>
      <x:c r="K10" s="8" t="str">
        <x:v>indication</x:v>
      </x:c>
      <x:c r="L10" s="8" t="str">
        <x:v>pip-indication-v1</x:v>
      </x:c>
      <x:c r="M10" s="8" t="str">
        <x:v>modèle facultatif</x:v>
      </x:c>
      <x:c r="N10" s="8" t="str">
        <x:v>Traits épais, départ/arrivée larges</x:v>
      </x:c>
      <x:c r="O10" s="8" t="str">
        <x:v>À VALIDER</x:v>
      </x:c>
    </x:row>
    <x:row r="11" ht="27" customHeight="1">
      <x:c r="A11" s="8" t="n">
        <x:v>10</x:v>
      </x:c>
      <x:c r="B11" s="8" t="str">
        <x:v>Invitation</x:v>
      </x:c>
      <x:c r="C11" s="8" t="str">
        <x:v>Compte les chauves-souris</x:v>
      </x:c>
      <x:c r="D11" s="8" t="str">
        <x:v>Compte les chauves-souris</x:v>
      </x:c>
      <x:c r="E11" s="8" t="str">
        <x:v>count</x:v>
      </x:c>
      <x:c r="F11" s="8" t="str">
        <x:v>1</x:v>
      </x:c>
      <x:c r="G11" s="8" t="str">
        <x:v>Dénombrer de 1 à 4</x:v>
      </x:c>
      <x:c r="H11" s="8" t="str">
        <x:v>chauve-souris / bat</x:v>
      </x:c>
      <x:c r="I11" s="8" t="str">
        <x:v>Compte les chauves-souris.</x:v>
      </x:c>
      <x:c r="J11" s="8" t="str">
        <x:v>Count the bats.</x:v>
      </x:c>
      <x:c r="K11" s="8" t="str">
        <x:v>reflexion</x:v>
      </x:c>
      <x:c r="L11" s="8" t="str">
        <x:v>pip-reflexion-v2</x:v>
      </x:c>
      <x:c r="M11" s="8" t="str">
        <x:v>chiffre</x:v>
      </x:c>
      <x:c r="N11" s="8" t="str">
        <x:v>Ne pas compter des objets cachés de façon ambiguë</x:v>
      </x:c>
      <x:c r="O11" s="8" t="str">
        <x:v>À VALIDER</x:v>
      </x:c>
    </x:row>
    <x:row r="12" ht="27" customHeight="1">
      <x:c r="A12" s="8" t="n">
        <x:v>11</x:v>
      </x:c>
      <x:c r="B12" s="8" t="str">
        <x:v>Invitation</x:v>
      </x:c>
      <x:c r="C12" s="8" t="str">
        <x:v>Les mots de Pip</x:v>
      </x:c>
      <x:c r="D12" s="8" t="str">
        <x:v>Les mots de Pip</x:v>
      </x:c>
      <x:c r="E12" s="8" t="str">
        <x:v>match_vocabulary</x:v>
      </x:c>
      <x:c r="F12" s="8" t="str">
        <x:v>1</x:v>
      </x:c>
      <x:c r="G12" s="8" t="str">
        <x:v>Associer ghost/cat à leur illustration</x:v>
      </x:c>
      <x:c r="H12" s="8" t="str">
        <x:v>fantôme / ghost; chat / cat</x:v>
      </x:c>
      <x:c r="I12" s="8" t="str">
        <x:v>Relie les dessins aux bons mots.</x:v>
      </x:c>
      <x:c r="J12" s="8" t="str">
        <x:v>Match the pictures and words.</x:v>
      </x:c>
      <x:c r="K12" s="8" t="str">
        <x:v>indication</x:v>
      </x:c>
      <x:c r="L12" s="8" t="str">
        <x:v>pip-indication-v1</x:v>
      </x:c>
      <x:c r="M12" s="8" t="str">
        <x:v>graphique</x:v>
      </x:c>
      <x:c r="N12" s="8" t="str">
        <x:v>Lecture adulte, deux mots et deux pictogrammes distincts | Solution unique à vérifier</x:v>
      </x:c>
      <x:c r="O12" s="8" t="str">
        <x:v>À VALIDER</x:v>
      </x:c>
    </x:row>
    <x:row r="13" ht="27" customHeight="1">
      <x:c r="A13" s="8" t="n">
        <x:v>12</x:v>
      </x:c>
      <x:c r="B13" s="8" t="str">
        <x:v>Invitation</x:v>
      </x:c>
      <x:c r="C13" s="8" t="str">
        <x:v>L’indice caché</x:v>
      </x:c>
      <x:c r="D13" s="8" t="str">
        <x:v>L’indice caché</x:v>
      </x:c>
      <x:c r="E13" s="8" t="str">
        <x:v>spot_differences</x:v>
      </x:c>
      <x:c r="F13" s="8" t="str">
        <x:v>2</x:v>
      </x:c>
      <x:c r="G13" s="8" t="str">
        <x:v>Repérer exactement 3 différences</x:v>
      </x:c>
      <x:c r="H13" s="8" t="str">
        <x:v>lune / moon</x:v>
      </x:c>
      <x:c r="I13" s="8" t="str">
        <x:v>Trouve les trois différences.</x:v>
      </x:c>
      <x:c r="J13" s="8" t="str">
        <x:v>Find three differences.</x:v>
      </x:c>
      <x:c r="K13" s="8" t="str">
        <x:v>reflexion</x:v>
      </x:c>
      <x:c r="L13" s="8" t="str">
        <x:v>pip-reflexion-v2</x:v>
      </x:c>
      <x:c r="M13" s="8" t="str">
        <x:v>graphique</x:v>
      </x:c>
      <x:c r="N13" s="8" t="str">
        <x:v>Différences connues en données, pas inférées d’image IA | Solution unique à vérifier</x:v>
      </x:c>
      <x:c r="O13" s="8" t="str">
        <x:v>À VALIDER</x:v>
      </x:c>
    </x:row>
    <x:row r="14" ht="27" customHeight="1">
      <x:c r="A14" s="8" t="n">
        <x:v>13</x:v>
      </x:c>
      <x:c r="B14" s="8" t="str">
        <x:v>Forêt</x:v>
      </x:c>
      <x:c r="C14" s="8" t="str">
        <x:v>La forêt magique</x:v>
      </x:c>
      <x:c r="D14" s="8" t="str">
        <x:v>La forêt douce de la nuit</x:v>
      </x:c>
      <x:c r="E14" s="8" t="str">
        <x:v>coloring</x:v>
      </x:c>
      <x:c r="F14" s="8" t="str">
        <x:v>1</x:v>
      </x:c>
      <x:c r="G14" s="8" t="str">
        <x:v>Colorier une scène nocturne rassurante</x:v>
      </x:c>
      <x:c r="H14" s="8" t="str">
        <x:v>nuit / night</x:v>
      </x:c>
      <x:c r="I14" s="8" t="str">
        <x:v>Colorie la forêt et la nuit étoilée.</x:v>
      </x:c>
      <x:c r="J14" s="8" t="str">
        <x:v>Color the friendly night forest.</x:v>
      </x:c>
      <x:c r="K14" s="8" t="str">
        <x:v>accueil</x:v>
      </x:c>
      <x:c r="L14" s="8" t="str">
        <x:v>pip-accueil-v1</x:v>
      </x:c>
      <x:c r="M14" s="8" t="str">
        <x:v>libre</x:v>
      </x:c>
      <x:c r="N14" s="8" t="str">
        <x:v>Aucune imagerie effrayante, espaces de coloriage larges</x:v>
      </x:c>
      <x:c r="O14" s="8" t="str">
        <x:v>À VALIDER</x:v>
      </x:c>
    </x:row>
    <x:row r="15" ht="27" customHeight="1">
      <x:c r="A15" s="8" t="n">
        <x:v>14</x:v>
      </x:c>
      <x:c r="B15" s="8" t="str">
        <x:v>Forêt</x:v>
      </x:c>
      <x:c r="C15" s="8" t="str">
        <x:v>Le chemin des étoiles</x:v>
      </x:c>
      <x:c r="D15" s="8" t="str">
        <x:v>Le chemin des étoiles</x:v>
      </x:c>
      <x:c r="E15" s="8" t="str">
        <x:v>maze</x:v>
      </x:c>
      <x:c r="F15" s="8" t="str">
        <x:v>2</x:v>
      </x:c>
      <x:c r="G15" s="8" t="str">
        <x:v>Choisir un trajet plus long avec impasses simples</x:v>
      </x:c>
      <x:c r="H15" s="8" t="str">
        <x:v>étoile / star</x:v>
      </x:c>
      <x:c r="I15" s="8" t="str">
        <x:v>Suis les étoiles pour rejoindre Pip.</x:v>
      </x:c>
      <x:c r="J15" s="8" t="str">
        <x:v>Follow the stars to reach Pip.</x:v>
      </x:c>
      <x:c r="K15" s="8" t="str">
        <x:v>reflexion</x:v>
      </x:c>
      <x:c r="L15" s="8" t="str">
        <x:v>pip-reflexion-v2</x:v>
      </x:c>
      <x:c r="M15" s="8" t="str">
        <x:v>graphique</x:v>
      </x:c>
      <x:c r="N15" s="8" t="str">
        <x:v>Labyrinthe validé avec solution unique ou claire | Solution unique à vérifier</x:v>
      </x:c>
      <x:c r="O15" s="8" t="str">
        <x:v>À VALIDER</x:v>
      </x:c>
    </x:row>
    <x:row r="16" ht="27" customHeight="1">
      <x:c r="A16" s="8" t="n">
        <x:v>15</x:v>
      </x:c>
      <x:c r="B16" s="8" t="str">
        <x:v>Forêt</x:v>
      </x:c>
      <x:c r="C16" s="8" t="str">
        <x:v>Le hibou et les décorations</x:v>
      </x:c>
      <x:c r="D16" s="8" t="str">
        <x:v>Le hibou cherche les décorations</x:v>
      </x:c>
      <x:c r="E16" s="8" t="str">
        <x:v>find_count</x:v>
      </x:c>
      <x:c r="F16" s="8" t="str">
        <x:v>2</x:v>
      </x:c>
      <x:c r="G16" s="8" t="str">
        <x:v>Rechercher 4 objets et les pointer</x:v>
      </x:c>
      <x:c r="H16" s="8" t="str">
        <x:v>hibou / owl</x:v>
      </x:c>
      <x:c r="I16" s="8" t="str">
        <x:v>Aide le hibou à trouver quatre décorations.</x:v>
      </x:c>
      <x:c r="J16" s="8" t="str">
        <x:v>Help the owl find four decorations.</x:v>
      </x:c>
      <x:c r="K16" s="8" t="str">
        <x:v>indication</x:v>
      </x:c>
      <x:c r="L16" s="8" t="str">
        <x:v>pip-indication-v1</x:v>
      </x:c>
      <x:c r="M16" s="8" t="str">
        <x:v>graphique</x:v>
      </x:c>
      <x:c r="N16" s="8" t="str">
        <x:v>Créer inventaire des objets visible/vérifiable | Solution unique à vérifier</x:v>
      </x:c>
      <x:c r="O16" s="8" t="str">
        <x:v>À VALIDER</x:v>
      </x:c>
    </x:row>
    <x:row r="17" ht="27" customHeight="1">
      <x:c r="A17" s="8" t="n">
        <x:v>16</x:v>
      </x:c>
      <x:c r="B17" s="8" t="str">
        <x:v>Forêt</x:v>
      </x:c>
      <x:c r="C17" s="8" t="str">
        <x:v>La guirlande incomplète</x:v>
      </x:c>
      <x:c r="D17" s="8" t="str">
        <x:v>La guirlande incomplète</x:v>
      </x:c>
      <x:c r="E17" s="8" t="str">
        <x:v>pattern</x:v>
      </x:c>
      <x:c r="F17" s="8" t="str">
        <x:v>1</x:v>
      </x:c>
      <x:c r="G17" s="8" t="str">
        <x:v>Compléter une alternance AB</x:v>
      </x:c>
      <x:c r="H17" s="8" t="str">
        <x:v>étoile / star</x:v>
      </x:c>
      <x:c r="I17" s="8" t="str">
        <x:v>Dessine l’image qui manque.</x:v>
      </x:c>
      <x:c r="J17" s="8" t="str">
        <x:v>Draw the missing picture.</x:v>
      </x:c>
      <x:c r="K17" s="8" t="str">
        <x:v>reflexion</x:v>
      </x:c>
      <x:c r="L17" s="8" t="str">
        <x:v>pip-reflexion-v2</x:v>
      </x:c>
      <x:c r="M17" s="8" t="str">
        <x:v>graphique</x:v>
      </x:c>
      <x:c r="N17" s="8" t="str">
        <x:v>Expliquer exemple AB visuel, étoiles/graines ou décorations | Solution unique à vérifier</x:v>
      </x:c>
      <x:c r="O17" s="8" t="str">
        <x:v>À VALIDER</x:v>
      </x:c>
    </x:row>
    <x:row r="18" ht="27" customHeight="1">
      <x:c r="A18" s="8" t="n">
        <x:v>17</x:v>
      </x:c>
      <x:c r="B18" s="8" t="str">
        <x:v>Forêt</x:v>
      </x:c>
      <x:c r="C18" s="8" t="str">
        <x:v>La maison au loin</x:v>
      </x:c>
      <x:c r="D18" s="8" t="str">
        <x:v>La maison au loin</x:v>
      </x:c>
      <x:c r="E18" s="8" t="str">
        <x:v>connect_dots</x:v>
      </x:c>
      <x:c r="F18" s="8" t="str">
        <x:v>2</x:v>
      </x:c>
      <x:c r="G18" s="8" t="str">
        <x:v>Relier 6 points pour dessiner une maison</x:v>
      </x:c>
      <x:c r="H18" s="8" t="str">
        <x:v>maison / house</x:v>
      </x:c>
      <x:c r="I18" s="8" t="str">
        <x:v>Relie les points pour découvrir la maison.</x:v>
      </x:c>
      <x:c r="J18" s="8" t="str">
        <x:v>Connect the dots to reveal the house.</x:v>
      </x:c>
      <x:c r="K18" s="8" t="str">
        <x:v>indication</x:v>
      </x:c>
      <x:c r="L18" s="8" t="str">
        <x:v>pip-indication-v1</x:v>
      </x:c>
      <x:c r="M18" s="8" t="str">
        <x:v>graphique</x:v>
      </x:c>
      <x:c r="N18" s="8" t="str">
        <x:v>Nombre de points proposé 6, silhouette à contrôler humainement | Solution unique à vérifier | Silhouette de maison à confirmer</x:v>
      </x:c>
      <x:c r="O18" s="8" t="str">
        <x:v>À VALIDER</x:v>
      </x:c>
    </x:row>
    <x:row r="19" ht="27" customHeight="1">
      <x:c r="A19" s="8" t="n">
        <x:v>18</x:v>
      </x:c>
      <x:c r="B19" s="8" t="str">
        <x:v>Forêt</x:v>
      </x:c>
      <x:c r="C19" s="8" t="str">
        <x:v>Le chat au chapeau</x:v>
      </x:c>
      <x:c r="D19" s="8" t="str">
        <x:v>Le chat au grand chapeau</x:v>
      </x:c>
      <x:c r="E19" s="8" t="str">
        <x:v>coloring</x:v>
      </x:c>
      <x:c r="F19" s="8" t="str">
        <x:v>1</x:v>
      </x:c>
      <x:c r="G19" s="8" t="str">
        <x:v>Colorier et nommer chat/chapeau</x:v>
      </x:c>
      <x:c r="H19" s="8" t="str">
        <x:v>chat / cat; chapeau / hat</x:v>
      </x:c>
      <x:c r="I19" s="8" t="str">
        <x:v>Colorie le chat et son chapeau.</x:v>
      </x:c>
      <x:c r="J19" s="8" t="str">
        <x:v>Color the cat and its hat.</x:v>
      </x:c>
      <x:c r="K19" s="8" t="str">
        <x:v>encouragement</x:v>
      </x:c>
      <x:c r="L19" s="8" t="str">
        <x:v>pip-encouragement-v1</x:v>
      </x:c>
      <x:c r="M19" s="8" t="str">
        <x:v>libre</x:v>
      </x:c>
      <x:c r="N19" s="8" t="str">
        <x:v>Grandes formes, animal joyeux</x:v>
      </x:c>
      <x:c r="O19" s="8" t="str">
        <x:v>À VALIDER</x:v>
      </x:c>
    </x:row>
    <x:row r="20" ht="27" customHeight="1">
      <x:c r="A20" s="8" t="n">
        <x:v>19</x:v>
      </x:c>
      <x:c r="B20" s="8" t="str">
        <x:v>Forêt</x:v>
      </x:c>
      <x:c r="C20" s="8" t="str">
        <x:v>Les traces du balai</x:v>
      </x:c>
      <x:c r="D20" s="8" t="str">
        <x:v>Les traces du balai</x:v>
      </x:c>
      <x:c r="E20" s="8" t="str">
        <x:v>trace_paths</x:v>
      </x:c>
      <x:c r="F20" s="8" t="str">
        <x:v>2</x:v>
      </x:c>
      <x:c r="G20" s="8" t="str">
        <x:v>Suivre des courbes mixtes</x:v>
      </x:c>
      <x:c r="H20" s="8" t="str">
        <x:v>balai / broom</x:v>
      </x:c>
      <x:c r="I20" s="8" t="str">
        <x:v>Repasse les chemins du balai.</x:v>
      </x:c>
      <x:c r="J20" s="8" t="str">
        <x:v>Trace the broom paths.</x:v>
      </x:c>
      <x:c r="K20" s="8" t="str">
        <x:v>indication</x:v>
      </x:c>
      <x:c r="L20" s="8" t="str">
        <x:v>pip-indication-v1</x:v>
      </x:c>
      <x:c r="M20" s="8" t="str">
        <x:v>modèle facultatif</x:v>
      </x:c>
      <x:c r="N20" s="8" t="str">
        <x:v>Pas de surcharge de trajectoires</x:v>
      </x:c>
      <x:c r="O20" s="8" t="str">
        <x:v>À VALIDER</x:v>
      </x:c>
    </x:row>
    <x:row r="21" ht="27" customHeight="1">
      <x:c r="A21" s="8" t="n">
        <x:v>20</x:v>
      </x:c>
      <x:c r="B21" s="8" t="str">
        <x:v>Forêt</x:v>
      </x:c>
      <x:c r="C21" s="8" t="str">
        <x:v>À qui est ce chapeau ?</x:v>
      </x:c>
      <x:c r="D21" s="8" t="str">
        <x:v>Retrouve les chapeaux jumeaux</x:v>
      </x:c>
      <x:c r="E21" s="8" t="str">
        <x:v>match</x:v>
      </x:c>
      <x:c r="F21" s="8" t="str">
        <x:v>2</x:v>
      </x:c>
      <x:c r="G21" s="8" t="str">
        <x:v>Associer quatre paires d’objets identiques</x:v>
      </x:c>
      <x:c r="H21" s="8" t="str">
        <x:v>chapeau / hat</x:v>
      </x:c>
      <x:c r="I21" s="8" t="str">
        <x:v>Relie chaque chapeau à son jumeau.</x:v>
      </x:c>
      <x:c r="J21" s="8" t="str">
        <x:v>Match each hat with its twin.</x:v>
      </x:c>
      <x:c r="K21" s="8" t="str">
        <x:v>encouragement</x:v>
      </x:c>
      <x:c r="L21" s="8" t="str">
        <x:v>pip-encouragement-v1</x:v>
      </x:c>
      <x:c r="M21" s="8" t="str">
        <x:v>graphique</x:v>
      </x:c>
      <x:c r="N21" s="8" t="str">
        <x:v>Pilote C4 : conserver 4 paires et l’alignement sans ambiguïté | Pilote C4 : vérifier titre/consigne exacts sur main | Solution unique à vérifier</x:v>
      </x:c>
      <x:c r="O21" s="8" t="str">
        <x:v>À VALIDER</x:v>
      </x:c>
    </x:row>
    <x:row r="22" ht="27" customHeight="1">
      <x:c r="A22" s="8" t="n">
        <x:v>21</x:v>
      </x:c>
      <x:c r="B22" s="8" t="str">
        <x:v>Forêt</x:v>
      </x:c>
      <x:c r="C22" s="8" t="str">
        <x:v>Les araignées</x:v>
      </x:c>
      <x:c r="D22" s="8" t="str">
        <x:v>Combien d’araignées ?</x:v>
      </x:c>
      <x:c r="E22" s="8" t="str">
        <x:v>count</x:v>
      </x:c>
      <x:c r="F22" s="8" t="str">
        <x:v>2</x:v>
      </x:c>
      <x:c r="G22" s="8" t="str">
        <x:v>Dénombrer de 1 à 5</x:v>
      </x:c>
      <x:c r="H22" s="8" t="str">
        <x:v>araignée / spider</x:v>
      </x:c>
      <x:c r="I22" s="8" t="str">
        <x:v>Compte les araignées.</x:v>
      </x:c>
      <x:c r="J22" s="8" t="str">
        <x:v>Count the spiders.</x:v>
      </x:c>
      <x:c r="K22" s="8" t="str">
        <x:v>reflexion</x:v>
      </x:c>
      <x:c r="L22" s="8" t="str">
        <x:v>pip-reflexion-v2</x:v>
      </x:c>
      <x:c r="M22" s="8" t="str">
        <x:v>chiffre</x:v>
      </x:c>
      <x:c r="N22" s="8" t="str">
        <x:v>Araignées souriantes, pas réalistes inquiétantes</x:v>
      </x:c>
      <x:c r="O22" s="8" t="str">
        <x:v>À VALIDER</x:v>
      </x:c>
    </x:row>
    <x:row r="23" ht="27" customHeight="1">
      <x:c r="A23" s="8" t="n">
        <x:v>22</x:v>
      </x:c>
      <x:c r="B23" s="8" t="str">
        <x:v>Forêt</x:v>
      </x:c>
      <x:c r="C23" s="8" t="str">
        <x:v>La toile mystérieuse</x:v>
      </x:c>
      <x:c r="D23" s="8" t="str">
        <x:v>La toile mystérieuse</x:v>
      </x:c>
      <x:c r="E23" s="8" t="str">
        <x:v>path_logic</x:v>
      </x:c>
      <x:c r="F23" s="8" t="str">
        <x:v>2</x:v>
      </x:c>
      <x:c r="G23" s="8" t="str">
        <x:v>Suivre un chemin sans croiser les autres</x:v>
      </x:c>
      <x:c r="H23" s="8" t="str">
        <x:v>toile d’araignée / spiderweb</x:v>
      </x:c>
      <x:c r="I23" s="8" t="str">
        <x:v>Trouve le chemin jusqu’à la toile.</x:v>
      </x:c>
      <x:c r="J23" s="8" t="str">
        <x:v>Find the path to the spiderweb.</x:v>
      </x:c>
      <x:c r="K23" s="8" t="str">
        <x:v>reflexion</x:v>
      </x:c>
      <x:c r="L23" s="8" t="str">
        <x:v>pip-reflexion-v2</x:v>
      </x:c>
      <x:c r="M23" s="8" t="str">
        <x:v>graphique</x:v>
      </x:c>
      <x:c r="N23" s="8" t="str">
        <x:v>Une solution contrôlée, grande lisibilité | Solution unique à vérifier</x:v>
      </x:c>
      <x:c r="O23" s="8" t="str">
        <x:v>À VALIDER</x:v>
      </x:c>
    </x:row>
    <x:row r="24" ht="27" customHeight="1">
      <x:c r="A24" s="8" t="n">
        <x:v>23</x:v>
      </x:c>
      <x:c r="B24" s="8" t="str">
        <x:v>Amis</x:v>
      </x:c>
      <x:c r="C24" s="8" t="str">
        <x:v>La gentille sorcière</x:v>
      </x:c>
      <x:c r="D24" s="8" t="str">
        <x:v>La gentille sorcière</x:v>
      </x:c>
      <x:c r="E24" s="8" t="str">
        <x:v>coloring</x:v>
      </x:c>
      <x:c r="F24" s="8" t="str">
        <x:v>1</x:v>
      </x:c>
      <x:c r="G24" s="8" t="str">
        <x:v>Colorier deux éléments thématiques</x:v>
      </x:c>
      <x:c r="H24" s="8" t="str">
        <x:v>sorcière / witch; maison / house</x:v>
      </x:c>
      <x:c r="I24" s="8" t="str">
        <x:v>Colorie la gentille sorcière et sa maison.</x:v>
      </x:c>
      <x:c r="J24" s="8" t="str">
        <x:v>Color the friendly witch and her house.</x:v>
      </x:c>
      <x:c r="K24" s="8" t="str">
        <x:v>accueil</x:v>
      </x:c>
      <x:c r="L24" s="8" t="str">
        <x:v>pip-accueil-v1</x:v>
      </x:c>
      <x:c r="M24" s="8" t="str">
        <x:v>libre</x:v>
      </x:c>
      <x:c r="N24" s="8" t="str">
        <x:v>Visuel à approuver, non effrayant</x:v>
      </x:c>
      <x:c r="O24" s="8" t="str">
        <x:v>À VALIDER</x:v>
      </x:c>
    </x:row>
    <x:row r="25" ht="27" customHeight="1">
      <x:c r="A25" s="8" t="n">
        <x:v>24</x:v>
      </x:c>
      <x:c r="B25" s="8" t="str">
        <x:v>Amis</x:v>
      </x:c>
      <x:c r="C25" s="8" t="str">
        <x:v>Le balai disparu</x:v>
      </x:c>
      <x:c r="D25" s="8" t="str">
        <x:v>Le balai disparu</x:v>
      </x:c>
      <x:c r="E25" s="8" t="str">
        <x:v>find_count</x:v>
      </x:c>
      <x:c r="F25" s="8" t="str">
        <x:v>2</x:v>
      </x:c>
      <x:c r="G25" s="8" t="str">
        <x:v>Chercher 4 balais identifiés</x:v>
      </x:c>
      <x:c r="H25" s="8" t="str">
        <x:v>balai / broom</x:v>
      </x:c>
      <x:c r="I25" s="8" t="str">
        <x:v>Trouve les quatre balais cachés.</x:v>
      </x:c>
      <x:c r="J25" s="8" t="str">
        <x:v>Find the four hidden brooms.</x:v>
      </x:c>
      <x:c r="K25" s="8" t="str">
        <x:v>indication</x:v>
      </x:c>
      <x:c r="L25" s="8" t="str">
        <x:v>pip-indication-v1</x:v>
      </x:c>
      <x:c r="M25" s="8" t="str">
        <x:v>graphique</x:v>
      </x:c>
      <x:c r="N25" s="8" t="str">
        <x:v>Plan d’objets exact | Solution unique à vérifier</x:v>
      </x:c>
      <x:c r="O25" s="8" t="str">
        <x:v>À VALIDER</x:v>
      </x:c>
    </x:row>
    <x:row r="26" ht="27" customHeight="1">
      <x:c r="A26" s="8" t="n">
        <x:v>25</x:v>
      </x:c>
      <x:c r="B26" s="8" t="str">
        <x:v>Amis</x:v>
      </x:c>
      <x:c r="C26" s="8" t="str">
        <x:v>Pip rencontre le monstre</x:v>
      </x:c>
      <x:c r="D26" s="8" t="str">
        <x:v>Pip rencontre un monstre gentil</x:v>
      </x:c>
      <x:c r="E26" s="8" t="str">
        <x:v>maze</x:v>
      </x:c>
      <x:c r="F26" s="8" t="str">
        <x:v>2</x:v>
      </x:c>
      <x:c r="G26" s="8" t="str">
        <x:v>Trouver sortie d’un labyrinthe modéré</x:v>
      </x:c>
      <x:c r="H26" s="8" t="str">
        <x:v>monstre / monster</x:v>
      </x:c>
      <x:c r="I26" s="8" t="str">
        <x:v>Guide Pip vers son nouvel ami.</x:v>
      </x:c>
      <x:c r="J26" s="8" t="str">
        <x:v>Guide Pip to his new friend.</x:v>
      </x:c>
      <x:c r="K26" s="8" t="str">
        <x:v>reflexion</x:v>
      </x:c>
      <x:c r="L26" s="8" t="str">
        <x:v>pip-reflexion-v2</x:v>
      </x:c>
      <x:c r="M26" s="8" t="str">
        <x:v>graphique</x:v>
      </x:c>
      <x:c r="N26" s="8" t="str">
        <x:v>Éviter motifs monstrueux anxiogènes | Solution unique à vérifier</x:v>
      </x:c>
      <x:c r="O26" s="8" t="str">
        <x:v>À VALIDER</x:v>
      </x:c>
    </x:row>
    <x:row r="27" ht="27" customHeight="1">
      <x:c r="A27" s="8" t="n">
        <x:v>26</x:v>
      </x:c>
      <x:c r="B27" s="8" t="str">
        <x:v>Amis</x:v>
      </x:c>
      <x:c r="C27" s="8" t="str">
        <x:v>La potion des étoiles</x:v>
      </x:c>
      <x:c r="D27" s="8" t="str">
        <x:v>La potion des étoiles</x:v>
      </x:c>
      <x:c r="E27" s="8" t="str">
        <x:v>pattern</x:v>
      </x:c>
      <x:c r="F27" s="8" t="str">
        <x:v>2</x:v>
      </x:c>
      <x:c r="G27" s="8" t="str">
        <x:v>Compléter une suite ABB</x:v>
      </x:c>
      <x:c r="H27" s="8" t="str">
        <x:v>étoile / star</x:v>
      </x:c>
      <x:c r="I27" s="8" t="str">
        <x:v>Continue la suite des étoiles et des bulles.</x:v>
      </x:c>
      <x:c r="J27" s="8" t="str">
        <x:v>Continue the star and bubble pattern.</x:v>
      </x:c>
      <x:c r="K27" s="8" t="str">
        <x:v>reflexion</x:v>
      </x:c>
      <x:c r="L27" s="8" t="str">
        <x:v>pip-reflexion-v2</x:v>
      </x:c>
      <x:c r="M27" s="8" t="str">
        <x:v>graphique</x:v>
      </x:c>
      <x:c r="N27" s="8" t="str">
        <x:v>ABB après exemple, vraies formes distinctes | Solution unique à vérifier</x:v>
      </x:c>
      <x:c r="O27" s="8" t="str">
        <x:v>À VALIDER</x:v>
      </x:c>
    </x:row>
    <x:row r="28" ht="27" customHeight="1">
      <x:c r="A28" s="8" t="n">
        <x:v>27</x:v>
      </x:c>
      <x:c r="B28" s="8" t="str">
        <x:v>Amis</x:v>
      </x:c>
      <x:c r="C28" s="8" t="str">
        <x:v>Les chapeaux des amis</x:v>
      </x:c>
      <x:c r="D28" s="8" t="str">
        <x:v>Les chapeaux des amis</x:v>
      </x:c>
      <x:c r="E28" s="8" t="str">
        <x:v>match</x:v>
      </x:c>
      <x:c r="F28" s="8" t="str">
        <x:v>2</x:v>
      </x:c>
      <x:c r="G28" s="8" t="str">
        <x:v>Relier des formes selon un détail</x:v>
      </x:c>
      <x:c r="H28" s="8" t="str">
        <x:v>chapeau / hat</x:v>
      </x:c>
      <x:c r="I28" s="8" t="str">
        <x:v>Relie chaque ami à son chapeau.</x:v>
      </x:c>
      <x:c r="J28" s="8" t="str">
        <x:v>Match each friend to a hat.</x:v>
      </x:c>
      <x:c r="K28" s="8" t="str">
        <x:v>indication</x:v>
      </x:c>
      <x:c r="L28" s="8" t="str">
        <x:v>pip-indication-v1</x:v>
      </x:c>
      <x:c r="M28" s="8" t="str">
        <x:v>graphique</x:v>
      </x:c>
      <x:c r="N28" s="8" t="str">
        <x:v>Différent de la page 20 : correspondance personnage-objet | Solution unique à vérifier</x:v>
      </x:c>
      <x:c r="O28" s="8" t="str">
        <x:v>À VALIDER</x:v>
      </x:c>
    </x:row>
    <x:row r="29" ht="27" customHeight="1">
      <x:c r="A29" s="8" t="n">
        <x:v>28</x:v>
      </x:c>
      <x:c r="B29" s="8" t="str">
        <x:v>Amis</x:v>
      </x:c>
      <x:c r="C29" s="8" t="str">
        <x:v>Le monstre souriant</x:v>
      </x:c>
      <x:c r="D29" s="8" t="str">
        <x:v>Le monstre souriant</x:v>
      </x:c>
      <x:c r="E29" s="8" t="str">
        <x:v>creative_color</x:v>
      </x:c>
      <x:c r="F29" s="8" t="str">
        <x:v>1</x:v>
      </x:c>
      <x:c r="G29" s="8" t="str">
        <x:v>Créer un coloriage libre</x:v>
      </x:c>
      <x:c r="H29" s="8" t="str">
        <x:v>monstre / monster</x:v>
      </x:c>
      <x:c r="I29" s="8" t="str">
        <x:v>Invente les couleurs du monstre gentil.</x:v>
      </x:c>
      <x:c r="J29" s="8" t="str">
        <x:v>Color the friendly monster your way.</x:v>
      </x:c>
      <x:c r="K29" s="8" t="str">
        <x:v>encouragement</x:v>
      </x:c>
      <x:c r="L29" s="8" t="str">
        <x:v>pip-encouragement-v1</x:v>
      </x:c>
      <x:c r="M29" s="8" t="str">
        <x:v>libre</x:v>
      </x:c>
      <x:c r="N29" s="8" t="str">
        <x:v>Visuel inédit à approuver</x:v>
      </x:c>
      <x:c r="O29" s="8" t="str">
        <x:v>À VALIDER</x:v>
      </x:c>
    </x:row>
    <x:row r="30" ht="27" customHeight="1">
      <x:c r="A30" s="8" t="n">
        <x:v>29</x:v>
      </x:c>
      <x:c r="B30" s="8" t="str">
        <x:v>Amis</x:v>
      </x:c>
      <x:c r="C30" s="8" t="str">
        <x:v>Les invitations des amis</x:v>
      </x:c>
      <x:c r="D30" s="8" t="str">
        <x:v>Les invitations des amis</x:v>
      </x:c>
      <x:c r="E30" s="8" t="str">
        <x:v>trace_paths</x:v>
      </x:c>
      <x:c r="F30" s="8" t="str">
        <x:v>2</x:v>
      </x:c>
      <x:c r="G30" s="8" t="str">
        <x:v>Tracer chemins plus courbes</x:v>
      </x:c>
      <x:c r="H30" s="8" t="str">
        <x:v>maison / house</x:v>
      </x:c>
      <x:c r="I30" s="8" t="str">
        <x:v>Trace le chemin de chaque invitation.</x:v>
      </x:c>
      <x:c r="J30" s="8" t="str">
        <x:v>Trace each invitation path.</x:v>
      </x:c>
      <x:c r="K30" s="8" t="str">
        <x:v>indication</x:v>
      </x:c>
      <x:c r="L30" s="8" t="str">
        <x:v>pip-indication-v1</x:v>
      </x:c>
      <x:c r="M30" s="8" t="str">
        <x:v>modèle facultatif</x:v>
      </x:c>
      <x:c r="N30" s="8" t="str">
        <x:v>Plusieurs départs, éviter croisements confus</x:v>
      </x:c>
      <x:c r="O30" s="8" t="str">
        <x:v>À VALIDER</x:v>
      </x:c>
    </x:row>
    <x:row r="31" ht="27" customHeight="1">
      <x:c r="A31" s="8" t="n">
        <x:v>30</x:v>
      </x:c>
      <x:c r="B31" s="8" t="str">
        <x:v>Amis</x:v>
      </x:c>
      <x:c r="C31" s="8" t="str">
        <x:v>Combien d’amis ?</x:v>
      </x:c>
      <x:c r="D31" s="8" t="str">
        <x:v>Combien d’amis ?</x:v>
      </x:c>
      <x:c r="E31" s="8" t="str">
        <x:v>count</x:v>
      </x:c>
      <x:c r="F31" s="8" t="str">
        <x:v>2</x:v>
      </x:c>
      <x:c r="G31" s="8" t="str">
        <x:v>Compter chats et hiboux de 1 à 5</x:v>
      </x:c>
      <x:c r="H31" s="8" t="str">
        <x:v>chat / cat; hibou / owl</x:v>
      </x:c>
      <x:c r="I31" s="8" t="str">
        <x:v>Compte chaque groupe d’amis.</x:v>
      </x:c>
      <x:c r="J31" s="8" t="str">
        <x:v>Count each group of friends.</x:v>
      </x:c>
      <x:c r="K31" s="8" t="str">
        <x:v>reflexion</x:v>
      </x:c>
      <x:c r="L31" s="8" t="str">
        <x:v>pip-reflexion-v2</x:v>
      </x:c>
      <x:c r="M31" s="8" t="str">
        <x:v>chiffre</x:v>
      </x:c>
      <x:c r="N31" s="8" t="str">
        <x:v>Utiliser deux catégories distinctes</x:v>
      </x:c>
      <x:c r="O31" s="8" t="str">
        <x:v>À VALIDER</x:v>
      </x:c>
    </x:row>
    <x:row r="32" ht="27" customHeight="1">
      <x:c r="A32" s="8" t="n">
        <x:v>31</x:v>
      </x:c>
      <x:c r="B32" s="8" t="str">
        <x:v>Amis</x:v>
      </x:c>
      <x:c r="C32" s="8" t="str">
        <x:v>Retrouve les objets identiques</x:v>
      </x:c>
      <x:c r="D32" s="8" t="str">
        <x:v>Retrouve les objets identiques</x:v>
      </x:c>
      <x:c r="E32" s="8" t="str">
        <x:v>pair_matching</x:v>
      </x:c>
      <x:c r="F32" s="8" t="str">
        <x:v>2</x:v>
      </x:c>
      <x:c r="G32" s="8" t="str">
        <x:v>Repérer 4 paires objet-objet</x:v>
      </x:c>
      <x:c r="H32" s="8" t="str">
        <x:v>balai / broom; chapeau / hat</x:v>
      </x:c>
      <x:c r="I32" s="8" t="str">
        <x:v>Entoure les objets identiques.</x:v>
      </x:c>
      <x:c r="J32" s="8" t="str">
        <x:v>Circle the matching objects.</x:v>
      </x:c>
      <x:c r="K32" s="8" t="str">
        <x:v>reflexion</x:v>
      </x:c>
      <x:c r="L32" s="8" t="str">
        <x:v>pip-reflexion-v2</x:v>
      </x:c>
      <x:c r="M32" s="8" t="str">
        <x:v>graphique</x:v>
      </x:c>
      <x:c r="N32" s="8" t="str">
        <x:v>Pas de répétition du layout p20 | Solution unique à vérifier</x:v>
      </x:c>
      <x:c r="O32" s="8" t="str">
        <x:v>À VALIDER</x:v>
      </x:c>
    </x:row>
    <x:row r="33" ht="27" customHeight="1">
      <x:c r="A33" s="8" t="n">
        <x:v>32</x:v>
      </x:c>
      <x:c r="B33" s="8" t="str">
        <x:v>Amis</x:v>
      </x:c>
      <x:c r="C33" s="8" t="str">
        <x:v>Les mots des amis</x:v>
      </x:c>
      <x:c r="D33" s="8" t="str">
        <x:v>Les mots des amis</x:v>
      </x:c>
      <x:c r="E33" s="8" t="str">
        <x:v>match_vocabulary</x:v>
      </x:c>
      <x:c r="F33" s="8" t="str">
        <x:v>2</x:v>
      </x:c>
      <x:c r="G33" s="8" t="str">
        <x:v>Revoir witch/monster/owl</x:v>
      </x:c>
      <x:c r="H33" s="8" t="str">
        <x:v>sorcière / witch; monstre / monster; hibou / owl</x:v>
      </x:c>
      <x:c r="I33" s="8" t="str">
        <x:v>Associe les images à leurs mots.</x:v>
      </x:c>
      <x:c r="J33" s="8" t="str">
        <x:v>Match the pictures to their words.</x:v>
      </x:c>
      <x:c r="K33" s="8" t="str">
        <x:v>indication</x:v>
      </x:c>
      <x:c r="L33" s="8" t="str">
        <x:v>pip-indication-v1</x:v>
      </x:c>
      <x:c r="M33" s="8" t="str">
        <x:v>graphique</x:v>
      </x:c>
      <x:c r="N33" s="8" t="str">
        <x:v>Consigne oralement médiée, caractères de 12 pt | Solution unique à vérifier</x:v>
      </x:c>
      <x:c r="O33" s="8" t="str">
        <x:v>À VALIDER</x:v>
      </x:c>
    </x:row>
    <x:row r="34" ht="27" customHeight="1">
      <x:c r="A34" s="8" t="n">
        <x:v>33</x:v>
      </x:c>
      <x:c r="B34" s="8" t="str">
        <x:v>Bonbons</x:v>
      </x:c>
      <x:c r="C34" s="8" t="str">
        <x:v>Le sac magique</x:v>
      </x:c>
      <x:c r="D34" s="8" t="str">
        <x:v>Le sac magique de Pip</x:v>
      </x:c>
      <x:c r="E34" s="8" t="str">
        <x:v>coloring</x:v>
      </x:c>
      <x:c r="F34" s="8" t="str">
        <x:v>1</x:v>
      </x:c>
      <x:c r="G34" s="8" t="str">
        <x:v>Colorier un sac de friandises</x:v>
      </x:c>
      <x:c r="H34" s="8" t="str">
        <x:v>sac / bag; bonbon / candy</x:v>
      </x:c>
      <x:c r="I34" s="8" t="str">
        <x:v>Colorie le sac et ses bonbons.</x:v>
      </x:c>
      <x:c r="J34" s="8" t="str">
        <x:v>Color the bag and candy.</x:v>
      </x:c>
      <x:c r="K34" s="8" t="str">
        <x:v>accueil</x:v>
      </x:c>
      <x:c r="L34" s="8" t="str">
        <x:v>pip-accueil-v1</x:v>
      </x:c>
      <x:c r="M34" s="8" t="str">
        <x:v>libre</x:v>
      </x:c>
      <x:c r="N34" s="8" t="str">
        <x:v>Grandes zones, trois catégories maxi</x:v>
      </x:c>
      <x:c r="O34" s="8" t="str">
        <x:v>À VALIDER</x:v>
      </x:c>
    </x:row>
    <x:row r="35" ht="27" customHeight="1">
      <x:c r="A35" s="8" t="n">
        <x:v>34</x:v>
      </x:c>
      <x:c r="B35" s="8" t="str">
        <x:v>Bonbons</x:v>
      </x:c>
      <x:c r="C35" s="8" t="str">
        <x:v>Le chemin des bonbons</x:v>
      </x:c>
      <x:c r="D35" s="8" t="str">
        <x:v>Le chemin des bonbons</x:v>
      </x:c>
      <x:c r="E35" s="8" t="str">
        <x:v>maze</x:v>
      </x:c>
      <x:c r="F35" s="8" t="str">
        <x:v>2</x:v>
      </x:c>
      <x:c r="G35" s="8" t="str">
        <x:v>Parcourir un labyrinthe de longueur moyenne</x:v>
      </x:c>
      <x:c r="H35" s="8" t="str">
        <x:v>bonbon / candy</x:v>
      </x:c>
      <x:c r="I35" s="8" t="str">
        <x:v>Conduis Pip jusqu’aux bonbons.</x:v>
      </x:c>
      <x:c r="J35" s="8" t="str">
        <x:v>Lead Pip to the candy.</x:v>
      </x:c>
      <x:c r="K35" s="8" t="str">
        <x:v>reflexion</x:v>
      </x:c>
      <x:c r="L35" s="8" t="str">
        <x:v>pip-reflexion-v2</x:v>
      </x:c>
      <x:c r="M35" s="8" t="str">
        <x:v>graphique</x:v>
      </x:c>
      <x:c r="N35" s="8" t="str">
        <x:v>Pas de chemin trompeur à la limite des marges | Solution unique à vérifier</x:v>
      </x:c>
      <x:c r="O35" s="8" t="str">
        <x:v>À VALIDER</x:v>
      </x:c>
    </x:row>
    <x:row r="36" ht="27" customHeight="1">
      <x:c r="A36" s="8" t="n">
        <x:v>35</x:v>
      </x:c>
      <x:c r="B36" s="8" t="str">
        <x:v>Bonbons</x:v>
      </x:c>
      <x:c r="C36" s="8" t="str">
        <x:v>Les bonbons cachés</x:v>
      </x:c>
      <x:c r="D36" s="8" t="str">
        <x:v>Les bonbons cachés</x:v>
      </x:c>
      <x:c r="E36" s="8" t="str">
        <x:v>find_count</x:v>
      </x:c>
      <x:c r="F36" s="8" t="str">
        <x:v>2</x:v>
      </x:c>
      <x:c r="G36" s="8" t="str">
        <x:v>Trouver 5 bonbons sans recouvrement</x:v>
      </x:c>
      <x:c r="H36" s="8" t="str">
        <x:v>bonbon / candy</x:v>
      </x:c>
      <x:c r="I36" s="8" t="str">
        <x:v>Trouve cinq bonbons dans la scène.</x:v>
      </x:c>
      <x:c r="J36" s="8" t="str">
        <x:v>Find five candies in the picture.</x:v>
      </x:c>
      <x:c r="K36" s="8" t="str">
        <x:v>indication</x:v>
      </x:c>
      <x:c r="L36" s="8" t="str">
        <x:v>pip-indication-v1</x:v>
      </x:c>
      <x:c r="M36" s="8" t="str">
        <x:v>graphique</x:v>
      </x:c>
      <x:c r="N36" s="8" t="str">
        <x:v>Compter sources exactes | Solution unique à vérifier</x:v>
      </x:c>
      <x:c r="O36" s="8" t="str">
        <x:v>À VALIDER</x:v>
      </x:c>
    </x:row>
    <x:row r="37" ht="27" customHeight="1">
      <x:c r="A37" s="8" t="n">
        <x:v>36</x:v>
      </x:c>
      <x:c r="B37" s="8" t="str">
        <x:v>Bonbons</x:v>
      </x:c>
      <x:c r="C37" s="8" t="str">
        <x:v>La guirlande de friandises</x:v>
      </x:c>
      <x:c r="D37" s="8" t="str">
        <x:v>La guirlande de friandises</x:v>
      </x:c>
      <x:c r="E37" s="8" t="str">
        <x:v>pattern</x:v>
      </x:c>
      <x:c r="F37" s="8" t="str">
        <x:v>2</x:v>
      </x:c>
      <x:c r="G37" s="8" t="str">
        <x:v>Continuer une suite AAB</x:v>
      </x:c>
      <x:c r="H37" s="8" t="str">
        <x:v>bonbon / candy</x:v>
      </x:c>
      <x:c r="I37" s="8" t="str">
        <x:v>Continue la suite des friandises.</x:v>
      </x:c>
      <x:c r="J37" s="8" t="str">
        <x:v>Finish the candy pattern.</x:v>
      </x:c>
      <x:c r="K37" s="8" t="str">
        <x:v>reflexion</x:v>
      </x:c>
      <x:c r="L37" s="8" t="str">
        <x:v>pip-reflexion-v2</x:v>
      </x:c>
      <x:c r="M37" s="8" t="str">
        <x:v>graphique</x:v>
      </x:c>
      <x:c r="N37" s="8" t="str">
        <x:v>Distinct de p16 par logique AAB | Solution unique à vérifier</x:v>
      </x:c>
      <x:c r="O37" s="8" t="str">
        <x:v>À VALIDER</x:v>
      </x:c>
    </x:row>
    <x:row r="38" ht="27" customHeight="1">
      <x:c r="A38" s="8" t="n">
        <x:v>37</x:v>
      </x:c>
      <x:c r="B38" s="8" t="str">
        <x:v>Bonbons</x:v>
      </x:c>
      <x:c r="C38" s="8" t="str">
        <x:v>Les bonbons et leurs sacs</x:v>
      </x:c>
      <x:c r="D38" s="8" t="str">
        <x:v>Range les bonbons</x:v>
      </x:c>
      <x:c r="E38" s="8" t="str">
        <x:v>sort</x:v>
      </x:c>
      <x:c r="F38" s="8" t="str">
        <x:v>2</x:v>
      </x:c>
      <x:c r="G38" s="8" t="str">
        <x:v>Trier selon un critère unique</x:v>
      </x:c>
      <x:c r="H38" s="8" t="str">
        <x:v>sac / bag</x:v>
      </x:c>
      <x:c r="I38" s="8" t="str">
        <x:v>Range les bonbons dans les bons sacs.</x:v>
      </x:c>
      <x:c r="J38" s="8" t="str">
        <x:v>Sort the candies into the right bags.</x:v>
      </x:c>
      <x:c r="K38" s="8" t="str">
        <x:v>indication</x:v>
      </x:c>
      <x:c r="L38" s="8" t="str">
        <x:v>pip-indication-v1</x:v>
      </x:c>
      <x:c r="M38" s="8" t="str">
        <x:v>graphique</x:v>
      </x:c>
      <x:c r="N38" s="8" t="str">
        <x:v>Critère visible et indépendant de la couleur (N&amp;B) | Solution unique à vérifier</x:v>
      </x:c>
      <x:c r="O38" s="8" t="str">
        <x:v>À VALIDER</x:v>
      </x:c>
    </x:row>
    <x:row r="39" ht="27" customHeight="1">
      <x:c r="A39" s="8" t="n">
        <x:v>38</x:v>
      </x:c>
      <x:c r="B39" s="8" t="str">
        <x:v>Bonbons</x:v>
      </x:c>
      <x:c r="C39" s="8" t="str">
        <x:v>Pip rentre à la maison</x:v>
      </x:c>
      <x:c r="D39" s="8" t="str">
        <x:v>Pip rentre à la maison</x:v>
      </x:c>
      <x:c r="E39" s="8" t="str">
        <x:v>trace_paths</x:v>
      </x:c>
      <x:c r="F39" s="8" t="str">
        <x:v>2</x:v>
      </x:c>
      <x:c r="G39" s="8" t="str">
        <x:v>Tracer un chemin avec virages</x:v>
      </x:c>
      <x:c r="H39" s="8" t="str">
        <x:v>fantôme / ghost</x:v>
      </x:c>
      <x:c r="I39" s="8" t="str">
        <x:v>Trace le chemin de Pip à la maison.</x:v>
      </x:c>
      <x:c r="J39" s="8" t="str">
        <x:v>Trace Pip’s path home.</x:v>
      </x:c>
      <x:c r="K39" s="8" t="str">
        <x:v>indication</x:v>
      </x:c>
      <x:c r="L39" s="8" t="str">
        <x:v>pip-indication-v1</x:v>
      </x:c>
      <x:c r="M39" s="8" t="str">
        <x:v>modèle facultatif</x:v>
      </x:c>
      <x:c r="N39" s="8" t="str">
        <x:v>Pip illustratif, ne pas bloquer trait</x:v>
      </x:c>
      <x:c r="O39" s="8" t="str">
        <x:v>À VALIDER</x:v>
      </x:c>
    </x:row>
    <x:row r="40" ht="27" customHeight="1">
      <x:c r="A40" s="8" t="n">
        <x:v>39</x:v>
      </x:c>
      <x:c r="B40" s="8" t="str">
        <x:v>Bonbons</x:v>
      </x:c>
      <x:c r="C40" s="8" t="str">
        <x:v>La porte décorée</x:v>
      </x:c>
      <x:c r="D40" s="8" t="str">
        <x:v>La porte décorée</x:v>
      </x:c>
      <x:c r="E40" s="8" t="str">
        <x:v>coloring</x:v>
      </x:c>
      <x:c r="F40" s="8" t="str">
        <x:v>1</x:v>
      </x:c>
      <x:c r="G40" s="8" t="str">
        <x:v>Colorier une porte et ses décorations</x:v>
      </x:c>
      <x:c r="H40" s="8" t="str">
        <x:v>porte / door</x:v>
      </x:c>
      <x:c r="I40" s="8" t="str">
        <x:v>Colorie la porte de la fête.</x:v>
      </x:c>
      <x:c r="J40" s="8" t="str">
        <x:v>Color the party door.</x:v>
      </x:c>
      <x:c r="K40" s="8" t="str">
        <x:v>encouragement</x:v>
      </x:c>
      <x:c r="L40" s="8" t="str">
        <x:v>pip-encouragement-v1</x:v>
      </x:c>
      <x:c r="M40" s="8" t="str">
        <x:v>libre</x:v>
      </x:c>
      <x:c r="N40" s="8" t="str">
        <x:v>Grandes formes et décoration distincte</x:v>
      </x:c>
      <x:c r="O40" s="8" t="str">
        <x:v>À VALIDER</x:v>
      </x:c>
    </x:row>
    <x:row r="41" ht="27" customHeight="1">
      <x:c r="A41" s="8" t="n">
        <x:v>40</x:v>
      </x:c>
      <x:c r="B41" s="8" t="str">
        <x:v>Bonbons</x:v>
      </x:c>
      <x:c r="C41" s="8" t="str">
        <x:v>Un bonbon pour chacun</x:v>
      </x:c>
      <x:c r="D41" s="8" t="str">
        <x:v>Un bonbon pour chacun</x:v>
      </x:c>
      <x:c r="E41" s="8" t="str">
        <x:v>one_to_one</x:v>
      </x:c>
      <x:c r="F41" s="8" t="str">
        <x:v>2</x:v>
      </x:c>
      <x:c r="G41" s="8" t="str">
        <x:v>Correspondance terme à terme 1–5</x:v>
      </x:c>
      <x:c r="H41" s="8" t="str">
        <x:v>bonbon / candy</x:v>
      </x:c>
      <x:c r="I41" s="8" t="str">
        <x:v>Relie un bonbon à chaque ami.</x:v>
      </x:c>
      <x:c r="J41" s="8" t="str">
        <x:v>Give one candy to each friend.</x:v>
      </x:c>
      <x:c r="K41" s="8" t="str">
        <x:v>reflexion</x:v>
      </x:c>
      <x:c r="L41" s="8" t="str">
        <x:v>pip-reflexion-v2</x:v>
      </x:c>
      <x:c r="M41" s="8" t="str">
        <x:v>graphique</x:v>
      </x:c>
      <x:c r="N41" s="8" t="str">
        <x:v>Même nombre amis/bonbons, exception si but = restant explicite | Solution unique à vérifier</x:v>
      </x:c>
      <x:c r="O41" s="8" t="str">
        <x:v>À VALIDER</x:v>
      </x:c>
    </x:row>
    <x:row r="42" ht="27" customHeight="1">
      <x:c r="A42" s="8" t="n">
        <x:v>41</x:v>
      </x:c>
      <x:c r="B42" s="8" t="str">
        <x:v>Bonbons</x:v>
      </x:c>
      <x:c r="C42" s="8" t="str">
        <x:v>Les portes mystérieuses</x:v>
      </x:c>
      <x:c r="D42" s="8" t="str">
        <x:v>Les portes mystérieuses</x:v>
      </x:c>
      <x:c r="E42" s="8" t="str">
        <x:v>shadow_match</x:v>
      </x:c>
      <x:c r="F42" s="8" t="str">
        <x:v>2</x:v>
      </x:c>
      <x:c r="G42" s="8" t="str">
        <x:v>Associer silhouettes de portes</x:v>
      </x:c>
      <x:c r="H42" s="8" t="str">
        <x:v>porte / door</x:v>
      </x:c>
      <x:c r="I42" s="8" t="str">
        <x:v>Relie chaque porte à son ombre.</x:v>
      </x:c>
      <x:c r="J42" s="8" t="str">
        <x:v>Match each door to its shadow.</x:v>
      </x:c>
      <x:c r="K42" s="8" t="str">
        <x:v>reflexion</x:v>
      </x:c>
      <x:c r="L42" s="8" t="str">
        <x:v>pip-reflexion-v2</x:v>
      </x:c>
      <x:c r="M42" s="8" t="str">
        <x:v>graphique</x:v>
      </x:c>
      <x:c r="N42" s="8" t="str">
        <x:v>Éviter répétition visuelle p7 | Solution unique à vérifier</x:v>
      </x:c>
      <x:c r="O42" s="8" t="str">
        <x:v>À VALIDER</x:v>
      </x:c>
    </x:row>
    <x:row r="43" ht="27" customHeight="1">
      <x:c r="A43" s="8" t="n">
        <x:v>42</x:v>
      </x:c>
      <x:c r="B43" s="8" t="str">
        <x:v>Bonbons</x:v>
      </x:c>
      <x:c r="C43" s="8" t="str">
        <x:v>Le sac de Pip</x:v>
      </x:c>
      <x:c r="D43" s="8" t="str">
        <x:v>Le sac de Pip</x:v>
      </x:c>
      <x:c r="E43" s="8" t="str">
        <x:v>match_vocabulary</x:v>
      </x:c>
      <x:c r="F43" s="8" t="str">
        <x:v>2</x:v>
      </x:c>
      <x:c r="G43" s="8" t="str">
        <x:v>Revoir bag/candy/door</x:v>
      </x:c>
      <x:c r="H43" s="8" t="str">
        <x:v>sac / bag; bonbon / candy; porte / door</x:v>
      </x:c>
      <x:c r="I43" s="8" t="str">
        <x:v>Montre le bon dessin pour chaque mot.</x:v>
      </x:c>
      <x:c r="J43" s="8" t="str">
        <x:v>Point to the right picture for each word.</x:v>
      </x:c>
      <x:c r="K43" s="8" t="str">
        <x:v>indication</x:v>
      </x:c>
      <x:c r="L43" s="8" t="str">
        <x:v>pip-indication-v1</x:v>
      </x:c>
      <x:c r="M43" s="8" t="str">
        <x:v>graphique</x:v>
      </x:c>
      <x:c r="N43" s="8" t="str">
        <x:v>Consignes bilingues lisibles, validation traduction | Solution unique à vérifier</x:v>
      </x:c>
      <x:c r="O43" s="8" t="str">
        <x:v>À VALIDER</x:v>
      </x:c>
    </x:row>
    <x:row r="44" ht="27" customHeight="1">
      <x:c r="A44" s="8" t="n">
        <x:v>43</x:v>
      </x:c>
      <x:c r="B44" s="8" t="str">
        <x:v>Fête</x:v>
      </x:c>
      <x:c r="C44" s="8" t="str">
        <x:v>Les invités arrivent</x:v>
      </x:c>
      <x:c r="D44" s="8" t="str">
        <x:v>Les invités arrivent</x:v>
      </x:c>
      <x:c r="E44" s="8" t="str">
        <x:v>maze</x:v>
      </x:c>
      <x:c r="F44" s="8" t="str">
        <x:v>2</x:v>
      </x:c>
      <x:c r="G44" s="8" t="str">
        <x:v>Réinvestir dans un labyrinthe final</x:v>
      </x:c>
      <x:c r="H44" s="8" t="str">
        <x:v>fantôme / ghost</x:v>
      </x:c>
      <x:c r="I44" s="8" t="str">
        <x:v>Aide les invités à retrouver la fête.</x:v>
      </x:c>
      <x:c r="J44" s="8" t="str">
        <x:v>Help the guests find the party.</x:v>
      </x:c>
      <x:c r="K44" s="8" t="str">
        <x:v>reflexion</x:v>
      </x:c>
      <x:c r="L44" s="8" t="str">
        <x:v>pip-reflexion-v2</x:v>
      </x:c>
      <x:c r="M44" s="8" t="str">
        <x:v>graphique</x:v>
      </x:c>
      <x:c r="N44" s="8" t="str">
        <x:v>Parcours de synthèse modéré, pas plus difficile qu’une tranche 5 ans | Solution unique à vérifier</x:v>
      </x:c>
      <x:c r="O44" s="8" t="str">
        <x:v>À VALIDER</x:v>
      </x:c>
    </x:row>
    <x:row r="45" ht="27" customHeight="1">
      <x:c r="A45" s="8" t="n">
        <x:v>44</x:v>
      </x:c>
      <x:c r="B45" s="8" t="str">
        <x:v>Fête</x:v>
      </x:c>
      <x:c r="C45" s="8" t="str">
        <x:v>La grande chasse aux objets</x:v>
      </x:c>
      <x:c r="D45" s="8" t="str">
        <x:v>La grande chasse aux objets</x:v>
      </x:c>
      <x:c r="E45" s="8" t="str">
        <x:v>find_count</x:v>
      </x:c>
      <x:c r="F45" s="8" t="str">
        <x:v>3</x:v>
      </x:c>
      <x:c r="G45" s="8" t="str">
        <x:v>Rechercher 6 objets de thèmes déjà vus</x:v>
      </x:c>
      <x:c r="H45" s="8" t="str"/>
      <x:c r="I45" s="8" t="str">
        <x:v>Retrouve six objets de nos aventures.</x:v>
      </x:c>
      <x:c r="J45" s="8" t="str">
        <x:v>Find six things from our adventure.</x:v>
      </x:c>
      <x:c r="K45" s="8" t="str">
        <x:v>indication</x:v>
      </x:c>
      <x:c r="L45" s="8" t="str">
        <x:v>pip-indication-v1</x:v>
      </x:c>
      <x:c r="M45" s="8" t="str">
        <x:v>graphique</x:v>
      </x:c>
      <x:c r="N45" s="8" t="str">
        <x:v>Révision d’images connues sans copier-coller de scènes | Solution unique à vérifier | Complexité optionnelle pour 4 ans</x:v>
      </x:c>
      <x:c r="O45" s="8" t="str">
        <x:v>À VALIDER</x:v>
      </x:c>
    </x:row>
    <x:row r="46" ht="27" customHeight="1">
      <x:c r="A46" s="8" t="n">
        <x:v>45</x:v>
      </x:c>
      <x:c r="B46" s="8" t="str">
        <x:v>Fête</x:v>
      </x:c>
      <x:c r="C46" s="8" t="str">
        <x:v>Les étoiles de la fête</x:v>
      </x:c>
      <x:c r="D46" s="8" t="str">
        <x:v>Les étoiles de la fête</x:v>
      </x:c>
      <x:c r="E46" s="8" t="str">
        <x:v>connect_dots</x:v>
      </x:c>
      <x:c r="F46" s="8" t="str">
        <x:v>2</x:v>
      </x:c>
      <x:c r="G46" s="8" t="str">
        <x:v>Relier 7 points pour une étoile complète</x:v>
      </x:c>
      <x:c r="H46" s="8" t="str">
        <x:v>étoile / star</x:v>
      </x:c>
      <x:c r="I46" s="8" t="str">
        <x:v>Relie les points pour dessiner une étoile.</x:v>
      </x:c>
      <x:c r="J46" s="8" t="str">
        <x:v>Connect the dots to draw a star.</x:v>
      </x:c>
      <x:c r="K46" s="8" t="str">
        <x:v>indication</x:v>
      </x:c>
      <x:c r="L46" s="8" t="str">
        <x:v>pip-indication-v1</x:v>
      </x:c>
      <x:c r="M46" s="8" t="str">
        <x:v>graphique</x:v>
      </x:c>
      <x:c r="N46" s="8" t="str">
        <x:v>Étoile fermée claire, éviter croisements inattendus | Solution unique à vérifier | Silhouette d’étoile sans auto-intersection</x:v>
      </x:c>
      <x:c r="O46" s="8" t="str">
        <x:v>À VALIDER</x:v>
      </x:c>
    </x:row>
    <x:row r="47" ht="27" customHeight="1">
      <x:c r="A47" s="8" t="n">
        <x:v>46</x:v>
      </x:c>
      <x:c r="B47" s="8" t="str">
        <x:v>Fête</x:v>
      </x:c>
      <x:c r="C47" s="8" t="str">
        <x:v>Qui apporte quoi ?</x:v>
      </x:c>
      <x:c r="D47" s="8" t="str">
        <x:v>Qui apporte quoi ?</x:v>
      </x:c>
      <x:c r="E47" s="8" t="str">
        <x:v>match</x:v>
      </x:c>
      <x:c r="F47" s="8" t="str">
        <x:v>2</x:v>
      </x:c>
      <x:c r="G47" s="8" t="str">
        <x:v>Associer 4 invités à 4 objets</x:v>
      </x:c>
      <x:c r="H47" s="8" t="str"/>
      <x:c r="I47" s="8" t="str">
        <x:v>Relie chaque invité à son objet.</x:v>
      </x:c>
      <x:c r="J47" s="8" t="str">
        <x:v>Match each guest to an item.</x:v>
      </x:c>
      <x:c r="K47" s="8" t="str">
        <x:v>reflexion</x:v>
      </x:c>
      <x:c r="L47" s="8" t="str">
        <x:v>pip-reflexion-v2</x:v>
      </x:c>
      <x:c r="M47" s="8" t="str">
        <x:v>graphique</x:v>
      </x:c>
      <x:c r="N47" s="8" t="str">
        <x:v>Différent de p27 : indices de scène narratifs | Solution unique à vérifier</x:v>
      </x:c>
      <x:c r="O47" s="8" t="str">
        <x:v>À VALIDER</x:v>
      </x:c>
    </x:row>
    <x:row r="48" ht="27" customHeight="1">
      <x:c r="A48" s="8" t="n">
        <x:v>47</x:v>
      </x:c>
      <x:c r="B48" s="8" t="str">
        <x:v>Fête</x:v>
      </x:c>
      <x:c r="C48" s="8" t="str">
        <x:v>La fête de mes rêves</x:v>
      </x:c>
      <x:c r="D48" s="8" t="str">
        <x:v>La fête de mes rêves</x:v>
      </x:c>
      <x:c r="E48" s="8" t="str">
        <x:v>creative_color</x:v>
      </x:c>
      <x:c r="F48" s="8" t="str">
        <x:v>1</x:v>
      </x:c>
      <x:c r="G48" s="8" t="str">
        <x:v>Exprimer sa créativité après exercices</x:v>
      </x:c>
      <x:c r="H48" s="8" t="str"/>
      <x:c r="I48" s="8" t="str">
        <x:v>Dessine la fête de Pip à ta façon.</x:v>
      </x:c>
      <x:c r="J48" s="8" t="str">
        <x:v>Draw Pip’s party your way.</x:v>
      </x:c>
      <x:c r="K48" s="8" t="str">
        <x:v>encouragement</x:v>
      </x:c>
      <x:c r="L48" s="8" t="str">
        <x:v>pip-encouragement-v1</x:v>
      </x:c>
      <x:c r="M48" s="8" t="str">
        <x:v>libre</x:v>
      </x:c>
      <x:c r="N48" s="8" t="str">
        <x:v>Grande zone libre, ne pas exiger de scène complexe</x:v>
      </x:c>
      <x:c r="O48" s="8" t="str">
        <x:v>À VALIDER</x:v>
      </x:c>
    </x:row>
    <x:row r="49" ht="27" customHeight="1">
      <x:c r="A49" s="8" t="n">
        <x:v>48</x:v>
      </x:c>
      <x:c r="B49" s="8" t="str">
        <x:v>Fête</x:v>
      </x:c>
      <x:c r="C49" s="8" t="str">
        <x:v>Les dernières énigmes</x:v>
      </x:c>
      <x:c r="D49" s="8" t="str">
        <x:v>Les dernières énigmes</x:v>
      </x:c>
      <x:c r="E49" s="8" t="str">
        <x:v>mini_logic</x:v>
      </x:c>
      <x:c r="F49" s="8" t="str">
        <x:v>3</x:v>
      </x:c>
      <x:c r="G49" s="8" t="str">
        <x:v>Résoudre deux mini-défis simples</x:v>
      </x:c>
      <x:c r="H49" s="8" t="str">
        <x:v>citrouille / pumpkin; bonbon / candy</x:v>
      </x:c>
      <x:c r="I49" s="8" t="str">
        <x:v>Résous les deux petites énigmes.</x:v>
      </x:c>
      <x:c r="J49" s="8" t="str">
        <x:v>Solve the two little puzzles.</x:v>
      </x:c>
      <x:c r="K49" s="8" t="str">
        <x:v>reflexion</x:v>
      </x:c>
      <x:c r="L49" s="8" t="str">
        <x:v>pip-reflexion-v2</x:v>
      </x:c>
      <x:c r="M49" s="8" t="str">
        <x:v>graphique</x:v>
      </x:c>
      <x:c r="N49" s="8" t="str">
        <x:v>Pas de calcul formel, 2 sous-jeux max | Solution unique à vérifier | Complexité optionnelle pour 4 ans</x:v>
      </x:c>
      <x:c r="O49" s="8" t="str">
        <x:v>À VALIDER</x:v>
      </x:c>
    </x:row>
    <x:row r="50" ht="27" customHeight="1">
      <x:c r="A50" s="8" t="n">
        <x:v>49</x:v>
      </x:c>
      <x:c r="B50" s="8" t="str">
        <x:v>Fête</x:v>
      </x:c>
      <x:c r="C50" s="8" t="str">
        <x:v>Je reconnais les mots</x:v>
      </x:c>
      <x:c r="D50" s="8" t="str">
        <x:v>Je reconnais les mots</x:v>
      </x:c>
      <x:c r="E50" s="8" t="str">
        <x:v>match_vocabulary</x:v>
      </x:c>
      <x:c r="F50" s="8" t="str">
        <x:v>2</x:v>
      </x:c>
      <x:c r="G50" s="8" t="str">
        <x:v>Réviser 5–6 mots déjà rencontrés</x:v>
      </x:c>
      <x:c r="H50" s="8" t="str"/>
      <x:c r="I50" s="8" t="str">
        <x:v>Relie les images aux mots connus.</x:v>
      </x:c>
      <x:c r="J50" s="8" t="str">
        <x:v>Match the pictures to the words you know.</x:v>
      </x:c>
      <x:c r="K50" s="8" t="str">
        <x:v>indication</x:v>
      </x:c>
      <x:c r="L50" s="8" t="str">
        <x:v>pip-indication-v1</x:v>
      </x:c>
      <x:c r="M50" s="8" t="str">
        <x:v>graphique</x:v>
      </x:c>
      <x:c r="N50" s="8" t="str">
        <x:v>Ne pas exiger lecture autonome, adulte médiateur | Solution unique à vérifier</x:v>
      </x:c>
      <x:c r="O50" s="8" t="str">
        <x:v>À VALIDER</x:v>
      </x:c>
    </x:row>
    <x:row r="51" ht="27" customHeight="1">
      <x:c r="A51" s="8" t="n">
        <x:v>50</x:v>
      </x:c>
      <x:c r="B51" s="8" t="str">
        <x:v>Fête</x:v>
      </x:c>
      <x:c r="C51" s="8" t="str">
        <x:v>Bravo ! Diplôme</x:v>
      </x:c>
      <x:c r="D51" s="8" t="str">
        <x:v>Bravo, tu as aidé Pip !</x:v>
      </x:c>
      <x:c r="E51" s="8" t="str">
        <x:v>diploma</x:v>
      </x:c>
      <x:c r="F51" s="8" t="str">
        <x:v>—</x:v>
      </x:c>
      <x:c r="G51" s="8" t="str">
        <x:v>Valoriser les efforts, pas noter la réussite</x:v>
      </x:c>
      <x:c r="H51" s="8" t="str">
        <x:v>Bravo / well done (expression libre)</x:v>
      </x:c>
      <x:c r="I51" s="8" t="str">
        <x:v>Bravo ! Dessine ton sourire et écris ton prénom avec un adulte.</x:v>
      </x:c>
      <x:c r="J51" s="8" t="str">
        <x:v>Well done! You did it!</x:v>
      </x:c>
      <x:c r="K51" s="8" t="str">
        <x:v>felicitations</x:v>
      </x:c>
      <x:c r="L51" s="8" t="str">
        <x:v>pip-felicitations-v2</x:v>
      </x:c>
      <x:c r="M51" s="8" t="str">
        <x:v>aucun</x:v>
      </x:c>
      <x:c r="N51" s="8" t="str">
        <x:v>Diplôme, pas de performance mesurée</x:v>
      </x:c>
      <x:c r="O51" s="8" t="str">
        <x:v>À VALIDER</x:v>
      </x:c>
    </x:row>
    <x:row r="52" ht="27" customHeight="1">
      <x:c r="A52" s="8" t="n">
        <x:v>51</x:v>
      </x:c>
      <x:c r="B52" s="8" t="str">
        <x:v>Fin</x:v>
      </x:c>
      <x:c r="C52" s="8" t="str">
        <x:v>Corrigés 1</x:v>
      </x:c>
      <x:c r="D52" s="8" t="str">
        <x:v>Corrigés — Invitation</x:v>
      </x:c>
      <x:c r="E52" s="8" t="str">
        <x:v>answers</x:v>
      </x:c>
      <x:c r="F52" s="8" t="str">
        <x:v>—</x:v>
      </x:c>
      <x:c r="G52" s="8" t="str">
        <x:v>Corrigés référencés pages 3–12</x:v>
      </x:c>
      <x:c r="H52" s="8" t="str">
        <x:v>Révision / review</x:v>
      </x:c>
      <x:c r="I52" s="8" t="str">
        <x:v>Retrouve les solutions avec un adulte.</x:v>
      </x:c>
      <x:c r="J52" s="8" t="str">
        <x:v>Check the answers together.</x:v>
      </x:c>
      <x:c r="K52" s="8" t="str">
        <x:v>aucun</x:v>
      </x:c>
      <x:c r="L52" s="8" t="str">
        <x:v>—</x:v>
      </x:c>
      <x:c r="M52" s="8" t="str">
        <x:v>index</x:v>
      </x:c>
      <x:c r="N52" s="8" t="str">
        <x:v>Pagination corrigés PROVISOIRE : densité à tester en 100 % | Corrigés sur 4 pages : validation de densité obligatoire</x:v>
      </x:c>
      <x:c r="O52" s="8" t="str">
        <x:v>À VALIDER</x:v>
      </x:c>
    </x:row>
    <x:row r="53" ht="27" customHeight="1">
      <x:c r="A53" s="8" t="n">
        <x:v>52</x:v>
      </x:c>
      <x:c r="B53" s="8" t="str">
        <x:v>Fin</x:v>
      </x:c>
      <x:c r="C53" s="8" t="str">
        <x:v>Corrigés 2</x:v>
      </x:c>
      <x:c r="D53" s="8" t="str">
        <x:v>Corrigés — Forêt</x:v>
      </x:c>
      <x:c r="E53" s="8" t="str">
        <x:v>answers</x:v>
      </x:c>
      <x:c r="F53" s="8" t="str">
        <x:v>—</x:v>
      </x:c>
      <x:c r="G53" s="8" t="str">
        <x:v>Corrigés référencés pages 13–22</x:v>
      </x:c>
      <x:c r="H53" s="8" t="str">
        <x:v>Révision / review</x:v>
      </x:c>
      <x:c r="I53" s="8" t="str">
        <x:v>Retrouve les solutions avec un adulte.</x:v>
      </x:c>
      <x:c r="J53" s="8" t="str">
        <x:v>Check the answers together.</x:v>
      </x:c>
      <x:c r="K53" s="8" t="str">
        <x:v>aucun</x:v>
      </x:c>
      <x:c r="L53" s="8" t="str">
        <x:v>—</x:v>
      </x:c>
      <x:c r="M53" s="8" t="str">
        <x:v>index</x:v>
      </x:c>
      <x:c r="N53" s="8" t="str">
        <x:v>Pagination corrigés PROVISOIRE : densité à tester en 100 % | Corrigés sur 4 pages : validation de densité obligatoire</x:v>
      </x:c>
      <x:c r="O53" s="8" t="str">
        <x:v>À VALIDER</x:v>
      </x:c>
    </x:row>
    <x:row r="54" ht="27" customHeight="1">
      <x:c r="A54" s="8" t="n">
        <x:v>53</x:v>
      </x:c>
      <x:c r="B54" s="8" t="str">
        <x:v>Fin</x:v>
      </x:c>
      <x:c r="C54" s="8" t="str">
        <x:v>Corrigés 3</x:v>
      </x:c>
      <x:c r="D54" s="8" t="str">
        <x:v>Corrigés — Amis</x:v>
      </x:c>
      <x:c r="E54" s="8" t="str">
        <x:v>answers</x:v>
      </x:c>
      <x:c r="F54" s="8" t="str">
        <x:v>—</x:v>
      </x:c>
      <x:c r="G54" s="8" t="str">
        <x:v>Corrigés référencés pages 23–32</x:v>
      </x:c>
      <x:c r="H54" s="8" t="str">
        <x:v>Révision / review</x:v>
      </x:c>
      <x:c r="I54" s="8" t="str">
        <x:v>Retrouve les solutions avec un adulte.</x:v>
      </x:c>
      <x:c r="J54" s="8" t="str">
        <x:v>Check the answers together.</x:v>
      </x:c>
      <x:c r="K54" s="8" t="str">
        <x:v>aucun</x:v>
      </x:c>
      <x:c r="L54" s="8" t="str">
        <x:v>—</x:v>
      </x:c>
      <x:c r="M54" s="8" t="str">
        <x:v>index</x:v>
      </x:c>
      <x:c r="N54" s="8" t="str">
        <x:v>Pagination corrigés PROVISOIRE : Bonbons/Fête à répartir | Corrigés sur 4 pages : validation de densité obligatoire</x:v>
      </x:c>
      <x:c r="O54" s="8" t="str">
        <x:v>À VALIDER</x:v>
      </x:c>
    </x:row>
    <x:row r="55" ht="27" customHeight="1">
      <x:c r="A55" s="8" t="n">
        <x:v>54</x:v>
      </x:c>
      <x:c r="B55" s="8" t="str">
        <x:v>Fin</x:v>
      </x:c>
      <x:c r="C55" s="8" t="str">
        <x:v>Corrigés 4</x:v>
      </x:c>
      <x:c r="D55" s="8" t="str">
        <x:v>Corrigés — Bonbons et fête</x:v>
      </x:c>
      <x:c r="E55" s="8" t="str">
        <x:v>answers</x:v>
      </x:c>
      <x:c r="F55" s="8" t="str">
        <x:v>—</x:v>
      </x:c>
      <x:c r="G55" s="8" t="str">
        <x:v>Corrigés référencés pages 33–49</x:v>
      </x:c>
      <x:c r="H55" s="8" t="str">
        <x:v>Révision / review</x:v>
      </x:c>
      <x:c r="I55" s="8" t="str">
        <x:v>Retrouve les solutions avec un adulte.</x:v>
      </x:c>
      <x:c r="J55" s="8" t="str">
        <x:v>Check the answers together.</x:v>
      </x:c>
      <x:c r="K55" s="8" t="str">
        <x:v>aucun</x:v>
      </x:c>
      <x:c r="L55" s="8" t="str">
        <x:v>—</x:v>
      </x:c>
      <x:c r="M55" s="8" t="str">
        <x:v>index</x:v>
      </x:c>
      <x:c r="N55" s="8" t="str">
        <x:v>Densité potentiellement excessive (17 pages source) : gate humain obligatoire | Corrigés sur 4 pages : validation de densité obligatoire</x:v>
      </x:c>
      <x:c r="O55" s="8" t="str">
        <x:v>À VALIDER</x:v>
      </x:c>
    </x:row>
    <x:row r="56" ht="27" customHeight="1">
      <x:c r="A56" s="8" t="n">
        <x:v>55</x:v>
      </x:c>
      <x:c r="B56" s="8" t="str">
        <x:v>Fin</x:v>
      </x:c>
      <x:c r="C56" s="8" t="str">
        <x:v>Lexique illustré</x:v>
      </x:c>
      <x:c r="D56" s="8" t="str">
        <x:v>Mon mini-lexique illustré</x:v>
      </x:c>
      <x:c r="E56" s="8" t="str">
        <x:v>glossary</x:v>
      </x:c>
      <x:c r="F56" s="8" t="str">
        <x:v>—</x:v>
      </x:c>
      <x:c r="G56" s="8" t="str">
        <x:v>Rassembler les 18 paires FR/EN</x:v>
      </x:c>
      <x:c r="H56" s="8" t="str">
        <x:v>18 paires du book.yaml</x:v>
      </x:c>
      <x:c r="I56" s="8" t="str">
        <x:v>Regarde et redis les mots avec un adulte.</x:v>
      </x:c>
      <x:c r="J56" s="8" t="str">
        <x:v>Look and say the words together.</x:v>
      </x:c>
      <x:c r="K56" s="8" t="str">
        <x:v>accueil</x:v>
      </x:c>
      <x:c r="L56" s="8" t="str">
        <x:v>pip-accueil-v1</x:v>
      </x:c>
      <x:c r="M56" s="8" t="str">
        <x:v>aucun</x:v>
      </x:c>
      <x:c r="N56" s="8" t="str">
        <x:v>18 mini-illustrations conditionnées à un nouvel inventaire approuvé | 18 pictogrammes potentiels non approuvés</x:v>
      </x:c>
      <x:c r="O56" s="8" t="str">
        <x:v>À VALIDER</x:v>
      </x:c>
    </x:row>
    <x:row r="57" ht="27" customHeight="1">
      <x:c r="A57" s="8" t="n">
        <x:v>56</x:v>
      </x:c>
      <x:c r="B57" s="8" t="str">
        <x:v>Fin</x:v>
      </x:c>
      <x:c r="C57" s="8" t="str">
        <x:v>À bientôt avec Pip</x:v>
      </x:c>
      <x:c r="D57" s="8" t="str">
        <x:v>À bientôt avec Pip !</x:v>
      </x:c>
      <x:c r="E57" s="8" t="str">
        <x:v>back_matter</x:v>
      </x:c>
      <x:c r="F57" s="8" t="str">
        <x:v>—</x:v>
      </x:c>
      <x:c r="G57" s="8" t="str">
        <x:v>Clore l’histoire, inviter à rejouer</x:v>
      </x:c>
      <x:c r="H57" s="8" t="str">
        <x:v>Reprise / review</x:v>
      </x:c>
      <x:c r="I57" s="8" t="str">
        <x:v>Merci d’avoir aidé Pip !</x:v>
      </x:c>
      <x:c r="J57" s="8" t="str">
        <x:v>Thanks for helping Pip!</x:v>
      </x:c>
      <x:c r="K57" s="8" t="str">
        <x:v>felicitations</x:v>
      </x:c>
      <x:c r="L57" s="8" t="str">
        <x:v>pip-felicitations-v2</x:v>
      </x:c>
      <x:c r="M57" s="8" t="str">
        <x:v>aucun</x:v>
      </x:c>
      <x:c r="N57" s="8" t="str">
        <x:v>Page de clôture N&amp;B, nouvelle illustration non automatique</x:v>
      </x:c>
      <x:c r="O57" s="8" t="str">
        <x:v>À VALIDER</x:v>
      </x:c>
    </x:row>
  </x:sheetData>
  <x:conditionalFormatting sqref="O2:O57">
    <x:cfRule type="expression" dxfId="0" priority="1">
      <x:formula>O2="À REVOIR"</x:formula>
    </x:cfRule>
    <x:cfRule type="expression" dxfId="1" priority="2">
      <x:formula>O2="APPROUVÉ B3-A"</x:formula>
    </x:cfRule>
  </x:conditionalFormatting>
  <x:dataValidations count="1">
    <x:dataValidation type="list" sqref="O2:O57">
      <x:formula1>"À VALIDER,EN REVUE,APPROUVÉ B3-A,À REVOIR"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3e4bd3f4a476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9" hidden="0" customWidth="1"/>
    <x:col min="3" max="3" width="19" hidden="0" customWidth="1"/>
    <x:col min="4" max="4" width="49" hidden="0" customWidth="1"/>
  </x:cols>
  <x:sheetData>
    <x:row r="1">
      <x:c r="A1" s="13" t="str">
        <x:v>FR canonique</x:v>
      </x:c>
      <x:c r="B1" s="13" t="str">
        <x:v>EN canonique</x:v>
      </x:c>
      <x:c r="C1" s="13" t="str">
        <x:v>Nb pages prévues</x:v>
      </x:c>
      <x:c r="D1" s="13" t="str">
        <x:v>Notes</x:v>
      </x:c>
    </x:row>
    <x:row r="2">
      <x:c r="A2" t="str">
        <x:v>fantôme</x:v>
      </x:c>
      <x:c r="B2" t="str">
        <x:v>ghost</x:v>
      </x:c>
      <x:c r="C2" t="n">
        <x:f>COUNTIF('56 pages'!$H$2:$H$57,"*"&amp;A2&amp;"*")</x:f>
        <x:v>0</x:v>
      </x:c>
      <x:c r="D2" t="str">
        <x:v>Occurrence indicative, relire les contextes</x:v>
      </x:c>
    </x:row>
    <x:row r="3">
      <x:c r="A3" t="str">
        <x:v>citrouille</x:v>
      </x:c>
      <x:c r="B3" t="str">
        <x:v>pumpkin</x:v>
      </x:c>
      <x:c r="C3" t="n">
        <x:f>COUNTIF('56 pages'!$H$2:$H$57,"*"&amp;A3&amp;"*")</x:f>
        <x:v>0</x:v>
      </x:c>
      <x:c r="D3" t="str">
        <x:v>Occurrence indicative, relire les contextes</x:v>
      </x:c>
    </x:row>
    <x:row r="4">
      <x:c r="A4" t="str">
        <x:v>chauve-souris</x:v>
      </x:c>
      <x:c r="B4" t="str">
        <x:v>bat</x:v>
      </x:c>
      <x:c r="C4" t="n">
        <x:f>COUNTIF('56 pages'!$H$2:$H$57,"*"&amp;A4&amp;"*")</x:f>
        <x:v>0</x:v>
      </x:c>
      <x:c r="D4" t="str">
        <x:v>Occurrence indicative, relire les contextes</x:v>
      </x:c>
    </x:row>
    <x:row r="5">
      <x:c r="A5" t="str">
        <x:v>chat</x:v>
      </x:c>
      <x:c r="B5" t="str">
        <x:v>cat</x:v>
      </x:c>
      <x:c r="C5" t="n">
        <x:f>COUNTIF('56 pages'!$H$2:$H$57,"*"&amp;A5&amp;"*")</x:f>
        <x:v>0</x:v>
      </x:c>
      <x:c r="D5" t="str">
        <x:v>Occurrence indicative, relire les contextes</x:v>
      </x:c>
    </x:row>
    <x:row r="6">
      <x:c r="A6" t="str">
        <x:v>lune</x:v>
      </x:c>
      <x:c r="B6" t="str">
        <x:v>moon</x:v>
      </x:c>
      <x:c r="C6" t="n">
        <x:f>COUNTIF('56 pages'!$H$2:$H$57,"*"&amp;A6&amp;"*")</x:f>
        <x:v>0</x:v>
      </x:c>
      <x:c r="D6" t="str">
        <x:v>Occurrence indicative, relire les contextes</x:v>
      </x:c>
    </x:row>
    <x:row r="7">
      <x:c r="A7" t="str">
        <x:v>étoile</x:v>
      </x:c>
      <x:c r="B7" t="str">
        <x:v>star</x:v>
      </x:c>
      <x:c r="C7" t="n">
        <x:f>COUNTIF('56 pages'!$H$2:$H$57,"*"&amp;A7&amp;"*")</x:f>
        <x:v>0</x:v>
      </x:c>
      <x:c r="D7" t="str">
        <x:v>Occurrence indicative, relire les contextes</x:v>
      </x:c>
    </x:row>
    <x:row r="8">
      <x:c r="A8" t="str">
        <x:v>chapeau</x:v>
      </x:c>
      <x:c r="B8" t="str">
        <x:v>hat</x:v>
      </x:c>
      <x:c r="C8" t="n">
        <x:f>COUNTIF('56 pages'!$H$2:$H$57,"*"&amp;A8&amp;"*")</x:f>
        <x:v>0</x:v>
      </x:c>
      <x:c r="D8" t="str">
        <x:v>Occurrence indicative, relire les contextes</x:v>
      </x:c>
    </x:row>
    <x:row r="9">
      <x:c r="A9" t="str">
        <x:v>balai</x:v>
      </x:c>
      <x:c r="B9" t="str">
        <x:v>broom</x:v>
      </x:c>
      <x:c r="C9" t="n">
        <x:f>COUNTIF('56 pages'!$H$2:$H$57,"*"&amp;A9&amp;"*")</x:f>
        <x:v>0</x:v>
      </x:c>
      <x:c r="D9" t="str">
        <x:v>Occurrence indicative, relire les contextes</x:v>
      </x:c>
    </x:row>
    <x:row r="10">
      <x:c r="A10" t="str">
        <x:v>araignée</x:v>
      </x:c>
      <x:c r="B10" t="str">
        <x:v>spider</x:v>
      </x:c>
      <x:c r="C10" t="n">
        <x:f>COUNTIF('56 pages'!$H$2:$H$57,"*"&amp;A10&amp;"*")</x:f>
        <x:v>0</x:v>
      </x:c>
      <x:c r="D10" t="str">
        <x:v>Occurrence indicative, relire les contextes</x:v>
      </x:c>
    </x:row>
    <x:row r="11">
      <x:c r="A11" t="str">
        <x:v>toile d’araignée</x:v>
      </x:c>
      <x:c r="B11" t="str">
        <x:v>spiderweb</x:v>
      </x:c>
      <x:c r="C11" t="n">
        <x:f>COUNTIF('56 pages'!$H$2:$H$57,"*"&amp;A11&amp;"*")</x:f>
        <x:v>0</x:v>
      </x:c>
      <x:c r="D11" t="str">
        <x:v>Occurrence indicative, relire les contextes</x:v>
      </x:c>
    </x:row>
    <x:row r="12">
      <x:c r="A12" t="str">
        <x:v>sorcière</x:v>
      </x:c>
      <x:c r="B12" t="str">
        <x:v>witch</x:v>
      </x:c>
      <x:c r="C12" t="n">
        <x:f>COUNTIF('56 pages'!$H$2:$H$57,"*"&amp;A12&amp;"*")</x:f>
        <x:v>0</x:v>
      </x:c>
      <x:c r="D12" t="str">
        <x:v>Occurrence indicative, relire les contextes</x:v>
      </x:c>
    </x:row>
    <x:row r="13">
      <x:c r="A13" t="str">
        <x:v>monstre</x:v>
      </x:c>
      <x:c r="B13" t="str">
        <x:v>monster</x:v>
      </x:c>
      <x:c r="C13" t="n">
        <x:f>COUNTIF('56 pages'!$H$2:$H$57,"*"&amp;A13&amp;"*")</x:f>
        <x:v>0</x:v>
      </x:c>
      <x:c r="D13" t="str">
        <x:v>Occurrence indicative, relire les contextes</x:v>
      </x:c>
    </x:row>
    <x:row r="14">
      <x:c r="A14" t="str">
        <x:v>hibou</x:v>
      </x:c>
      <x:c r="B14" t="str">
        <x:v>owl</x:v>
      </x:c>
      <x:c r="C14" t="n">
        <x:f>COUNTIF('56 pages'!$H$2:$H$57,"*"&amp;A14&amp;"*")</x:f>
        <x:v>0</x:v>
      </x:c>
      <x:c r="D14" t="str">
        <x:v>Occurrence indicative, relire les contextes</x:v>
      </x:c>
    </x:row>
    <x:row r="15">
      <x:c r="A15" t="str">
        <x:v>maison</x:v>
      </x:c>
      <x:c r="B15" t="str">
        <x:v>house</x:v>
      </x:c>
      <x:c r="C15" t="n">
        <x:f>COUNTIF('56 pages'!$H$2:$H$57,"*"&amp;A15&amp;"*")</x:f>
        <x:v>0</x:v>
      </x:c>
      <x:c r="D15" t="str">
        <x:v>Occurrence indicative, relire les contextes</x:v>
      </x:c>
    </x:row>
    <x:row r="16">
      <x:c r="A16" t="str">
        <x:v>bonbon</x:v>
      </x:c>
      <x:c r="B16" t="str">
        <x:v>candy</x:v>
      </x:c>
      <x:c r="C16" t="n">
        <x:f>COUNTIF('56 pages'!$H$2:$H$57,"*"&amp;A16&amp;"*")</x:f>
        <x:v>0</x:v>
      </x:c>
      <x:c r="D16" t="str">
        <x:v>Occurrence indicative, relire les contextes</x:v>
      </x:c>
    </x:row>
    <x:row r="17">
      <x:c r="A17" t="str">
        <x:v>nuit</x:v>
      </x:c>
      <x:c r="B17" t="str">
        <x:v>night</x:v>
      </x:c>
      <x:c r="C17" t="n">
        <x:f>COUNTIF('56 pages'!$H$2:$H$57,"*"&amp;A17&amp;"*")</x:f>
        <x:v>0</x:v>
      </x:c>
      <x:c r="D17" t="str">
        <x:v>Occurrence indicative, relire les contextes</x:v>
      </x:c>
    </x:row>
    <x:row r="18">
      <x:c r="A18" t="str">
        <x:v>porte</x:v>
      </x:c>
      <x:c r="B18" t="str">
        <x:v>door</x:v>
      </x:c>
      <x:c r="C18" t="n">
        <x:f>COUNTIF('56 pages'!$H$2:$H$57,"*"&amp;A18&amp;"*")</x:f>
        <x:v>0</x:v>
      </x:c>
      <x:c r="D18" t="str">
        <x:v>Occurrence indicative, relire les contextes</x:v>
      </x:c>
    </x:row>
    <x:row r="19">
      <x:c r="A19" t="str">
        <x:v>sac</x:v>
      </x:c>
      <x:c r="B19" t="str">
        <x:v>bag</x:v>
      </x:c>
      <x:c r="C19" t="n">
        <x:f>COUNTIF('56 pages'!$H$2:$H$57,"*"&amp;A19&amp;"*")</x:f>
        <x:v>0</x:v>
      </x:c>
      <x:c r="D19" t="str">
        <x:v>Occurrence indicative, relire les contextes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31" hidden="0" customWidth="1"/>
    <x:col min="3" max="3" width="22" hidden="0" customWidth="1"/>
    <x:col min="4" max="4" width="23" hidden="0" customWidth="1"/>
    <x:col min="5" max="5" width="27" hidden="0" customWidth="1"/>
    <x:col min="6" max="6" width="54" hidden="0" customWidth="1"/>
  </x:cols>
  <x:sheetData>
    <x:row r="1">
      <x:c r="A1" s="13" t="str">
        <x:v>Fiche p.</x:v>
      </x:c>
      <x:c r="B1" s="13" t="str">
        <x:v>Activité</x:v>
      </x:c>
      <x:c r="C1" s="13" t="str">
        <x:v>Mécanique</x:v>
      </x:c>
      <x:c r="D1" s="13" t="str">
        <x:v>Page solution proposée</x:v>
      </x:c>
      <x:c r="E1" s="13" t="str">
        <x:v>Format</x:v>
      </x:c>
      <x:c r="F1" s="13" t="str">
        <x:v>Statut</x:v>
      </x:c>
    </x:row>
    <x:row r="2">
      <x:c r="A2" s="8" t="n">
        <x:v>4</x:v>
      </x:c>
      <x:c r="B2" s="8" t="str">
        <x:v>Aide Pip à trouver la sortie</x:v>
      </x:c>
      <x:c r="C2" s="8" t="str">
        <x:v>maze</x:v>
      </x:c>
      <x:c r="D2" s="8" t="n">
        <x:v>51</x:v>
      </x:c>
      <x:c r="E2" s="8" t="str">
        <x:v>mini-schema lisible</x:v>
      </x:c>
      <x:c r="F2" s="8" t="str">
        <x:v>NON VALIDÉ — preuve de lisibilité à 100 % requise</x:v>
      </x:c>
    </x:row>
    <x:row r="3">
      <x:c r="A3" s="8" t="n">
        <x:v>5</x:v>
      </x:c>
      <x:c r="B3" s="8" t="str">
        <x:v>Qui se cache dans le jardin ?</x:v>
      </x:c>
      <x:c r="C3" s="8" t="str">
        <x:v>find_count</x:v>
      </x:c>
      <x:c r="D3" s="8" t="n">
        <x:v>51</x:v>
      </x:c>
      <x:c r="E3" s="8" t="str">
        <x:v>mini-schema lisible</x:v>
      </x:c>
      <x:c r="F3" s="8" t="str">
        <x:v>NON VALIDÉ — preuve de lisibilité à 100 % requise</x:v>
      </x:c>
    </x:row>
    <x:row r="4">
      <x:c r="A4" s="8" t="n">
        <x:v>6</x:v>
      </x:c>
      <x:c r="B4" s="8" t="str">
        <x:v>Le croissant de lune</x:v>
      </x:c>
      <x:c r="C4" s="8" t="str">
        <x:v>connect_dots</x:v>
      </x:c>
      <x:c r="D4" s="8" t="n">
        <x:v>51</x:v>
      </x:c>
      <x:c r="E4" s="8" t="str">
        <x:v>mini-schema lisible</x:v>
      </x:c>
      <x:c r="F4" s="8" t="str">
        <x:v>NON VALIDÉ — preuve de lisibilité à 100 % requise</x:v>
      </x:c>
    </x:row>
    <x:row r="5">
      <x:c r="A5" s="8" t="n">
        <x:v>7</x:v>
      </x:c>
      <x:c r="B5" s="8" t="str">
        <x:v>L’ombre de la citrouille</x:v>
      </x:c>
      <x:c r="C5" s="8" t="str">
        <x:v>shadow_match</x:v>
      </x:c>
      <x:c r="D5" s="8" t="n">
        <x:v>51</x:v>
      </x:c>
      <x:c r="E5" s="8" t="str">
        <x:v>mini-schema lisible</x:v>
      </x:c>
      <x:c r="F5" s="8" t="str">
        <x:v>NON VALIDÉ — preuve de lisibilité à 100 % requise</x:v>
      </x:c>
    </x:row>
    <x:row r="6">
      <x:c r="A6" s="8" t="n">
        <x:v>10</x:v>
      </x:c>
      <x:c r="B6" s="8" t="str">
        <x:v>Compte les chauves-souris</x:v>
      </x:c>
      <x:c r="C6" s="8" t="str">
        <x:v>count</x:v>
      </x:c>
      <x:c r="D6" s="8" t="n">
        <x:v>51</x:v>
      </x:c>
      <x:c r="E6" s="8" t="str">
        <x:v>chiffre et pictos</x:v>
      </x:c>
      <x:c r="F6" s="8" t="str">
        <x:v>NON VALIDÉ — preuve de lisibilité à 100 % requise</x:v>
      </x:c>
    </x:row>
    <x:row r="7">
      <x:c r="A7" s="8" t="n">
        <x:v>11</x:v>
      </x:c>
      <x:c r="B7" s="8" t="str">
        <x:v>Les mots de Pip</x:v>
      </x:c>
      <x:c r="C7" s="8" t="str">
        <x:v>match_vocabulary</x:v>
      </x:c>
      <x:c r="D7" s="8" t="n">
        <x:v>51</x:v>
      </x:c>
      <x:c r="E7" s="8" t="str">
        <x:v>mini-schema lisible</x:v>
      </x:c>
      <x:c r="F7" s="8" t="str">
        <x:v>NON VALIDÉ — preuve de lisibilité à 100 % requise</x:v>
      </x:c>
    </x:row>
    <x:row r="8">
      <x:c r="A8" s="8" t="n">
        <x:v>12</x:v>
      </x:c>
      <x:c r="B8" s="8" t="str">
        <x:v>L’indice caché</x:v>
      </x:c>
      <x:c r="C8" s="8" t="str">
        <x:v>spot_differences</x:v>
      </x:c>
      <x:c r="D8" s="8" t="n">
        <x:v>51</x:v>
      </x:c>
      <x:c r="E8" s="8" t="str">
        <x:v>mini-schema lisible</x:v>
      </x:c>
      <x:c r="F8" s="8" t="str">
        <x:v>NON VALIDÉ — preuve de lisibilité à 100 % requise</x:v>
      </x:c>
    </x:row>
    <x:row r="9">
      <x:c r="A9" s="8" t="n">
        <x:v>14</x:v>
      </x:c>
      <x:c r="B9" s="8" t="str">
        <x:v>Le chemin des étoiles</x:v>
      </x:c>
      <x:c r="C9" s="8" t="str">
        <x:v>maze</x:v>
      </x:c>
      <x:c r="D9" s="8" t="n">
        <x:v>51</x:v>
      </x:c>
      <x:c r="E9" s="8" t="str">
        <x:v>mini-schema lisible</x:v>
      </x:c>
      <x:c r="F9" s="8" t="str">
        <x:v>NON VALIDÉ — preuve de lisibilité à 100 % requise</x:v>
      </x:c>
    </x:row>
    <x:row r="10">
      <x:c r="A10" s="8" t="n">
        <x:v>15</x:v>
      </x:c>
      <x:c r="B10" s="8" t="str">
        <x:v>Le hibou cherche les décorations</x:v>
      </x:c>
      <x:c r="C10" s="8" t="str">
        <x:v>find_count</x:v>
      </x:c>
      <x:c r="D10" s="8" t="n">
        <x:v>51</x:v>
      </x:c>
      <x:c r="E10" s="8" t="str">
        <x:v>mini-schema lisible</x:v>
      </x:c>
      <x:c r="F10" s="8" t="str">
        <x:v>NON VALIDÉ — preuve de lisibilité à 100 % requise</x:v>
      </x:c>
    </x:row>
    <x:row r="11">
      <x:c r="A11" s="8" t="n">
        <x:v>16</x:v>
      </x:c>
      <x:c r="B11" s="8" t="str">
        <x:v>La guirlande incomplète</x:v>
      </x:c>
      <x:c r="C11" s="8" t="str">
        <x:v>pattern</x:v>
      </x:c>
      <x:c r="D11" s="8" t="n">
        <x:v>52</x:v>
      </x:c>
      <x:c r="E11" s="8" t="str">
        <x:v>mini-schema lisible</x:v>
      </x:c>
      <x:c r="F11" s="8" t="str">
        <x:v>NON VALIDÉ — preuve de lisibilité à 100 % requise</x:v>
      </x:c>
    </x:row>
    <x:row r="12">
      <x:c r="A12" s="8" t="n">
        <x:v>17</x:v>
      </x:c>
      <x:c r="B12" s="8" t="str">
        <x:v>La maison au loin</x:v>
      </x:c>
      <x:c r="C12" s="8" t="str">
        <x:v>connect_dots</x:v>
      </x:c>
      <x:c r="D12" s="8" t="n">
        <x:v>52</x:v>
      </x:c>
      <x:c r="E12" s="8" t="str">
        <x:v>mini-schema lisible</x:v>
      </x:c>
      <x:c r="F12" s="8" t="str">
        <x:v>NON VALIDÉ — preuve de lisibilité à 100 % requise</x:v>
      </x:c>
    </x:row>
    <x:row r="13">
      <x:c r="A13" s="8" t="n">
        <x:v>20</x:v>
      </x:c>
      <x:c r="B13" s="8" t="str">
        <x:v>Retrouve les chapeaux jumeaux</x:v>
      </x:c>
      <x:c r="C13" s="8" t="str">
        <x:v>match</x:v>
      </x:c>
      <x:c r="D13" s="8" t="n">
        <x:v>52</x:v>
      </x:c>
      <x:c r="E13" s="8" t="str">
        <x:v>mini-schema lisible</x:v>
      </x:c>
      <x:c r="F13" s="8" t="str">
        <x:v>NON VALIDÉ — preuve de lisibilité à 100 % requise</x:v>
      </x:c>
    </x:row>
    <x:row r="14">
      <x:c r="A14" s="8" t="n">
        <x:v>21</x:v>
      </x:c>
      <x:c r="B14" s="8" t="str">
        <x:v>Combien d’araignées ?</x:v>
      </x:c>
      <x:c r="C14" s="8" t="str">
        <x:v>count</x:v>
      </x:c>
      <x:c r="D14" s="8" t="n">
        <x:v>52</x:v>
      </x:c>
      <x:c r="E14" s="8" t="str">
        <x:v>chiffre et pictos</x:v>
      </x:c>
      <x:c r="F14" s="8" t="str">
        <x:v>NON VALIDÉ — preuve de lisibilité à 100 % requise</x:v>
      </x:c>
    </x:row>
    <x:row r="15">
      <x:c r="A15" s="8" t="n">
        <x:v>22</x:v>
      </x:c>
      <x:c r="B15" s="8" t="str">
        <x:v>La toile mystérieuse</x:v>
      </x:c>
      <x:c r="C15" s="8" t="str">
        <x:v>path_logic</x:v>
      </x:c>
      <x:c r="D15" s="8" t="n">
        <x:v>52</x:v>
      </x:c>
      <x:c r="E15" s="8" t="str">
        <x:v>mini-schema lisible</x:v>
      </x:c>
      <x:c r="F15" s="8" t="str">
        <x:v>NON VALIDÉ — preuve de lisibilité à 100 % requise</x:v>
      </x:c>
    </x:row>
    <x:row r="16">
      <x:c r="A16" s="8" t="n">
        <x:v>24</x:v>
      </x:c>
      <x:c r="B16" s="8" t="str">
        <x:v>Le balai disparu</x:v>
      </x:c>
      <x:c r="C16" s="8" t="str">
        <x:v>find_count</x:v>
      </x:c>
      <x:c r="D16" s="8" t="n">
        <x:v>52</x:v>
      </x:c>
      <x:c r="E16" s="8" t="str">
        <x:v>mini-schema lisible</x:v>
      </x:c>
      <x:c r="F16" s="8" t="str">
        <x:v>NON VALIDÉ — preuve de lisibilité à 100 % requise</x:v>
      </x:c>
    </x:row>
    <x:row r="17">
      <x:c r="A17" s="8" t="n">
        <x:v>25</x:v>
      </x:c>
      <x:c r="B17" s="8" t="str">
        <x:v>Pip rencontre un monstre gentil</x:v>
      </x:c>
      <x:c r="C17" s="8" t="str">
        <x:v>maze</x:v>
      </x:c>
      <x:c r="D17" s="8" t="n">
        <x:v>52</x:v>
      </x:c>
      <x:c r="E17" s="8" t="str">
        <x:v>mini-schema lisible</x:v>
      </x:c>
      <x:c r="F17" s="8" t="str">
        <x:v>NON VALIDÉ — preuve de lisibilité à 100 % requise</x:v>
      </x:c>
    </x:row>
    <x:row r="18">
      <x:c r="A18" s="8" t="n">
        <x:v>26</x:v>
      </x:c>
      <x:c r="B18" s="8" t="str">
        <x:v>La potion des étoiles</x:v>
      </x:c>
      <x:c r="C18" s="8" t="str">
        <x:v>pattern</x:v>
      </x:c>
      <x:c r="D18" s="8" t="n">
        <x:v>52</x:v>
      </x:c>
      <x:c r="E18" s="8" t="str">
        <x:v>mini-schema lisible</x:v>
      </x:c>
      <x:c r="F18" s="8" t="str">
        <x:v>NON VALIDÉ — preuve de lisibilité à 100 % requise</x:v>
      </x:c>
    </x:row>
    <x:row r="19">
      <x:c r="A19" s="8" t="n">
        <x:v>27</x:v>
      </x:c>
      <x:c r="B19" s="8" t="str">
        <x:v>Les chapeaux des amis</x:v>
      </x:c>
      <x:c r="C19" s="8" t="str">
        <x:v>match</x:v>
      </x:c>
      <x:c r="D19" s="8" t="n">
        <x:v>52</x:v>
      </x:c>
      <x:c r="E19" s="8" t="str">
        <x:v>mini-schema lisible</x:v>
      </x:c>
      <x:c r="F19" s="8" t="str">
        <x:v>NON VALIDÉ — preuve de lisibilité à 100 % requise</x:v>
      </x:c>
    </x:row>
    <x:row r="20">
      <x:c r="A20" s="8" t="n">
        <x:v>30</x:v>
      </x:c>
      <x:c r="B20" s="8" t="str">
        <x:v>Combien d’amis ?</x:v>
      </x:c>
      <x:c r="C20" s="8" t="str">
        <x:v>count</x:v>
      </x:c>
      <x:c r="D20" s="8" t="n">
        <x:v>53</x:v>
      </x:c>
      <x:c r="E20" s="8" t="str">
        <x:v>chiffre et pictos</x:v>
      </x:c>
      <x:c r="F20" s="8" t="str">
        <x:v>NON VALIDÉ — preuve de lisibilité à 100 % requise</x:v>
      </x:c>
    </x:row>
    <x:row r="21">
      <x:c r="A21" s="8" t="n">
        <x:v>31</x:v>
      </x:c>
      <x:c r="B21" s="8" t="str">
        <x:v>Retrouve les objets identiques</x:v>
      </x:c>
      <x:c r="C21" s="8" t="str">
        <x:v>pair_matching</x:v>
      </x:c>
      <x:c r="D21" s="8" t="n">
        <x:v>53</x:v>
      </x:c>
      <x:c r="E21" s="8" t="str">
        <x:v>mini-schema lisible</x:v>
      </x:c>
      <x:c r="F21" s="8" t="str">
        <x:v>NON VALIDÉ — preuve de lisibilité à 100 % requise</x:v>
      </x:c>
    </x:row>
    <x:row r="22">
      <x:c r="A22" s="8" t="n">
        <x:v>32</x:v>
      </x:c>
      <x:c r="B22" s="8" t="str">
        <x:v>Les mots des amis</x:v>
      </x:c>
      <x:c r="C22" s="8" t="str">
        <x:v>match_vocabulary</x:v>
      </x:c>
      <x:c r="D22" s="8" t="n">
        <x:v>53</x:v>
      </x:c>
      <x:c r="E22" s="8" t="str">
        <x:v>mini-schema lisible</x:v>
      </x:c>
      <x:c r="F22" s="8" t="str">
        <x:v>NON VALIDÉ — preuve de lisibilité à 100 % requise</x:v>
      </x:c>
    </x:row>
    <x:row r="23">
      <x:c r="A23" s="8" t="n">
        <x:v>34</x:v>
      </x:c>
      <x:c r="B23" s="8" t="str">
        <x:v>Le chemin des bonbons</x:v>
      </x:c>
      <x:c r="C23" s="8" t="str">
        <x:v>maze</x:v>
      </x:c>
      <x:c r="D23" s="8" t="n">
        <x:v>53</x:v>
      </x:c>
      <x:c r="E23" s="8" t="str">
        <x:v>mini-schema lisible</x:v>
      </x:c>
      <x:c r="F23" s="8" t="str">
        <x:v>NON VALIDÉ — preuve de lisibilité à 100 % requise</x:v>
      </x:c>
    </x:row>
    <x:row r="24">
      <x:c r="A24" s="8" t="n">
        <x:v>35</x:v>
      </x:c>
      <x:c r="B24" s="8" t="str">
        <x:v>Les bonbons cachés</x:v>
      </x:c>
      <x:c r="C24" s="8" t="str">
        <x:v>find_count</x:v>
      </x:c>
      <x:c r="D24" s="8" t="n">
        <x:v>53</x:v>
      </x:c>
      <x:c r="E24" s="8" t="str">
        <x:v>mini-schema lisible</x:v>
      </x:c>
      <x:c r="F24" s="8" t="str">
        <x:v>NON VALIDÉ — preuve de lisibilité à 100 % requise</x:v>
      </x:c>
    </x:row>
    <x:row r="25">
      <x:c r="A25" s="8" t="n">
        <x:v>36</x:v>
      </x:c>
      <x:c r="B25" s="8" t="str">
        <x:v>La guirlande de friandises</x:v>
      </x:c>
      <x:c r="C25" s="8" t="str">
        <x:v>pattern</x:v>
      </x:c>
      <x:c r="D25" s="8" t="n">
        <x:v>53</x:v>
      </x:c>
      <x:c r="E25" s="8" t="str">
        <x:v>mini-schema lisible</x:v>
      </x:c>
      <x:c r="F25" s="8" t="str">
        <x:v>NON VALIDÉ — preuve de lisibilité à 100 % requise</x:v>
      </x:c>
    </x:row>
    <x:row r="26">
      <x:c r="A26" s="8" t="n">
        <x:v>37</x:v>
      </x:c>
      <x:c r="B26" s="8" t="str">
        <x:v>Range les bonbons</x:v>
      </x:c>
      <x:c r="C26" s="8" t="str">
        <x:v>sort</x:v>
      </x:c>
      <x:c r="D26" s="8" t="n">
        <x:v>53</x:v>
      </x:c>
      <x:c r="E26" s="8" t="str">
        <x:v>mini-schema lisible</x:v>
      </x:c>
      <x:c r="F26" s="8" t="str">
        <x:v>NON VALIDÉ — preuve de lisibilité à 100 % requise</x:v>
      </x:c>
    </x:row>
    <x:row r="27">
      <x:c r="A27" s="8" t="n">
        <x:v>40</x:v>
      </x:c>
      <x:c r="B27" s="8" t="str">
        <x:v>Un bonbon pour chacun</x:v>
      </x:c>
      <x:c r="C27" s="8" t="str">
        <x:v>one_to_one</x:v>
      </x:c>
      <x:c r="D27" s="8" t="n">
        <x:v>53</x:v>
      </x:c>
      <x:c r="E27" s="8" t="str">
        <x:v>mini-schema lisible</x:v>
      </x:c>
      <x:c r="F27" s="8" t="str">
        <x:v>NON VALIDÉ — preuve de lisibilité à 100 % requise</x:v>
      </x:c>
    </x:row>
    <x:row r="28">
      <x:c r="A28" s="8" t="n">
        <x:v>41</x:v>
      </x:c>
      <x:c r="B28" s="8" t="str">
        <x:v>Les portes mystérieuses</x:v>
      </x:c>
      <x:c r="C28" s="8" t="str">
        <x:v>shadow_match</x:v>
      </x:c>
      <x:c r="D28" s="8" t="n">
        <x:v>54</x:v>
      </x:c>
      <x:c r="E28" s="8" t="str">
        <x:v>mini-schema lisible</x:v>
      </x:c>
      <x:c r="F28" s="8" t="str">
        <x:v>NON VALIDÉ — preuve de lisibilité à 100 % requise</x:v>
      </x:c>
    </x:row>
    <x:row r="29">
      <x:c r="A29" s="8" t="n">
        <x:v>42</x:v>
      </x:c>
      <x:c r="B29" s="8" t="str">
        <x:v>Le sac de Pip</x:v>
      </x:c>
      <x:c r="C29" s="8" t="str">
        <x:v>match_vocabulary</x:v>
      </x:c>
      <x:c r="D29" s="8" t="n">
        <x:v>54</x:v>
      </x:c>
      <x:c r="E29" s="8" t="str">
        <x:v>mini-schema lisible</x:v>
      </x:c>
      <x:c r="F29" s="8" t="str">
        <x:v>NON VALIDÉ — preuve de lisibilité à 100 % requise</x:v>
      </x:c>
    </x:row>
    <x:row r="30">
      <x:c r="A30" s="8" t="n">
        <x:v>43</x:v>
      </x:c>
      <x:c r="B30" s="8" t="str">
        <x:v>Les invités arrivent</x:v>
      </x:c>
      <x:c r="C30" s="8" t="str">
        <x:v>maze</x:v>
      </x:c>
      <x:c r="D30" s="8" t="n">
        <x:v>54</x:v>
      </x:c>
      <x:c r="E30" s="8" t="str">
        <x:v>mini-schema lisible</x:v>
      </x:c>
      <x:c r="F30" s="8" t="str">
        <x:v>NON VALIDÉ — preuve de lisibilité à 100 % requise</x:v>
      </x:c>
    </x:row>
    <x:row r="31">
      <x:c r="A31" s="8" t="n">
        <x:v>44</x:v>
      </x:c>
      <x:c r="B31" s="8" t="str">
        <x:v>La grande chasse aux objets</x:v>
      </x:c>
      <x:c r="C31" s="8" t="str">
        <x:v>find_count</x:v>
      </x:c>
      <x:c r="D31" s="8" t="n">
        <x:v>54</x:v>
      </x:c>
      <x:c r="E31" s="8" t="str">
        <x:v>mini-schema lisible</x:v>
      </x:c>
      <x:c r="F31" s="8" t="str">
        <x:v>NON VALIDÉ — preuve de lisibilité à 100 % requise</x:v>
      </x:c>
    </x:row>
    <x:row r="32">
      <x:c r="A32" s="8" t="n">
        <x:v>45</x:v>
      </x:c>
      <x:c r="B32" s="8" t="str">
        <x:v>Les étoiles de la fête</x:v>
      </x:c>
      <x:c r="C32" s="8" t="str">
        <x:v>connect_dots</x:v>
      </x:c>
      <x:c r="D32" s="8" t="n">
        <x:v>54</x:v>
      </x:c>
      <x:c r="E32" s="8" t="str">
        <x:v>mini-schema lisible</x:v>
      </x:c>
      <x:c r="F32" s="8" t="str">
        <x:v>NON VALIDÉ — preuve de lisibilité à 100 % requise</x:v>
      </x:c>
    </x:row>
    <x:row r="33">
      <x:c r="A33" s="8" t="n">
        <x:v>46</x:v>
      </x:c>
      <x:c r="B33" s="8" t="str">
        <x:v>Qui apporte quoi ?</x:v>
      </x:c>
      <x:c r="C33" s="8" t="str">
        <x:v>match</x:v>
      </x:c>
      <x:c r="D33" s="8" t="n">
        <x:v>54</x:v>
      </x:c>
      <x:c r="E33" s="8" t="str">
        <x:v>mini-schema lisible</x:v>
      </x:c>
      <x:c r="F33" s="8" t="str">
        <x:v>NON VALIDÉ — preuve de lisibilité à 100 % requise</x:v>
      </x:c>
    </x:row>
    <x:row r="34">
      <x:c r="A34" s="8" t="n">
        <x:v>48</x:v>
      </x:c>
      <x:c r="B34" s="8" t="str">
        <x:v>Les dernières énigmes</x:v>
      </x:c>
      <x:c r="C34" s="8" t="str">
        <x:v>mini_logic</x:v>
      </x:c>
      <x:c r="D34" s="8" t="n">
        <x:v>54</x:v>
      </x:c>
      <x:c r="E34" s="8" t="str">
        <x:v>mini-schema lisible</x:v>
      </x:c>
      <x:c r="F34" s="8" t="str">
        <x:v>NON VALIDÉ — preuve de lisibilité à 100 % requise</x:v>
      </x:c>
    </x:row>
    <x:row r="35">
      <x:c r="A35" s="8" t="n">
        <x:v>49</x:v>
      </x:c>
      <x:c r="B35" s="8" t="str">
        <x:v>Je reconnais les mots</x:v>
      </x:c>
      <x:c r="C35" s="8" t="str">
        <x:v>match_vocabulary</x:v>
      </x:c>
      <x:c r="D35" s="8" t="n">
        <x:v>54</x:v>
      </x:c>
      <x:c r="E35" s="8" t="str">
        <x:v>mini-schema lisible</x:v>
      </x:c>
      <x:c r="F35" s="8" t="str">
        <x:v>NON VALIDÉ — preuve de lisibilité à 100 % requise</x:v>
      </x:c>
    </x:row>
  </x:sheetData>
  <x:pageMargins left="0.7" right="0.7" top="0.75" bottom="0.75" header="0.3" footer="0.3"/>
  <x:tableParts count="1">
    <x:tablePart xmlns:r="http://schemas.openxmlformats.org/officeDocument/2006/relationships" r:id="R3a40139cfa6d476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9" hidden="0" customWidth="1"/>
    <x:col min="3" max="3" width="19" hidden="0" customWidth="1"/>
    <x:col min="4" max="4" width="17" hidden="0" customWidth="1"/>
    <x:col min="5" max="5" width="62" hidden="0" customWidth="1"/>
  </x:cols>
  <x:sheetData>
    <x:row r="1">
      <x:c r="A1" s="13" t="str">
        <x:v>Décision</x:v>
      </x:c>
      <x:c r="B1" s="13" t="str">
        <x:v>Recommandation</x:v>
      </x:c>
      <x:c r="C1" s="13" t="str">
        <x:v>Responsable</x:v>
      </x:c>
      <x:c r="D1" s="13" t="str">
        <x:v>État</x:v>
      </x:c>
      <x:c r="E1" s="13" t="str">
        <x:v>Critère</x:v>
      </x:c>
    </x:row>
    <x:row r="2">
      <x:c r="A2" s="8" t="str">
        <x:v>Corrigés 51–54</x:v>
      </x:c>
      <x:c r="B2" s="8" t="str">
        <x:v>9/9/8/8 seulement si lisible à 100 %</x:v>
      </x:c>
      <x:c r="C2" s="8" t="str">
        <x:v>Humain</x:v>
      </x:c>
      <x:c r="D2" s="8" t="str">
        <x:v>PENDING</x:v>
      </x:c>
      <x:c r="E2" s="8" t="str">
        <x:v>Maquette corrigés compacte sans miniature illisible</x:v>
      </x:c>
    </x:row>
    <x:row r="3">
      <x:c r="A3" s="8" t="str">
        <x:v>Pilotage C4 p4/p6/p20</x:v>
      </x:c>
      <x:c r="B3" s="8" t="str">
        <x:v>Geler les démos actuelles comme référence</x:v>
      </x:c>
      <x:c r="C3" s="8" t="str">
        <x:v>Hermes + humain</x:v>
      </x:c>
      <x:c r="D3" s="8" t="str">
        <x:v>PENDING</x:v>
      </x:c>
      <x:c r="E3" s="8" t="str">
        <x:v>Comparer ligne à ligne avec Git HEAD</x:v>
      </x:c>
    </x:row>
    <x:row r="4">
      <x:c r="A4" s="8" t="str">
        <x:v>Lexique p55</x:v>
      </x:c>
      <x:c r="B4" s="8" t="str">
        <x:v>Texte 2 colonnes par défaut; illustré après approbation</x:v>
      </x:c>
      <x:c r="C4" s="8" t="str">
        <x:v>Humain</x:v>
      </x:c>
      <x:c r="D4" s="8" t="str">
        <x:v>PENDING</x:v>
      </x:c>
      <x:c r="E4" s="8" t="str">
        <x:v>18 entrées vérifiables</x:v>
      </x:c>
    </x:row>
    <x:row r="5">
      <x:c r="A5" s="8" t="str">
        <x:v>Fond perdu intérieur</x:v>
      </x:c>
      <x:c r="B5" s="8" t="str">
        <x:v>Sans fond perdu, provisoire</x:v>
      </x:c>
      <x:c r="C5" s="8" t="str">
        <x:v>Humain</x:v>
      </x:c>
      <x:c r="D5" s="8" t="str">
        <x:v>PENDING</x:v>
      </x:c>
      <x:c r="E5" s="8" t="str">
        <x:v>Confirmer sur 56p et PDF final</x:v>
      </x:c>
    </x:row>
    <x:row r="6">
      <x:c r="A6" s="8" t="str">
        <x:v>Visuels nouveaux</x:v>
      </x:c>
      <x:c r="B6" s="8" t="str">
        <x:v>Brief → approbation des assets</x:v>
      </x:c>
      <x:c r="C6" s="8" t="str">
        <x:v>Humain</x:v>
      </x:c>
      <x:c r="D6" s="8" t="str">
        <x:v>PENDING</x:v>
      </x:c>
      <x:c r="E6" s="8" t="str">
        <x:v>Droits, inventaire, empreintes</x:v>
      </x:c>
    </x:row>
    <x:row r="7">
      <x:c r="A7" s="8" t="str">
        <x:v>FR/EN</x:v>
      </x:c>
      <x:c r="B7" s="8" t="str">
        <x:v>Relecture par humain bilingue</x:v>
      </x:c>
      <x:c r="C7" s="8" t="str">
        <x:v>Humain</x:v>
      </x:c>
      <x:c r="D7" s="8" t="str">
        <x:v>PENDING</x:v>
      </x:c>
      <x:c r="E7" s="8" t="str">
        <x:v>Phrases naturelles, adaptées 4–5 ans</x:v>
      </x:c>
    </x:row>
  </x:sheetData>
  <x:dataValidations count="1">
    <x:dataValidation type="list" sqref="D2:D7">
      <x:formula1>"PENDING,ACCEPTÉ,À REVOIR"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03" hidden="0" customWidth="1"/>
  </x:cols>
  <x:sheetData>
    <x:row r="1">
      <x:c r="A1" s="13" t="str">
        <x:v>Source / Référence</x:v>
      </x:c>
      <x:c r="B1" s="13" t="str">
        <x:v>Valeur</x:v>
      </x:c>
    </x:row>
    <x:row r="2">
      <x:c r="A2" t="str">
        <x:v>source_archive_B2B_sha256</x:v>
      </x:c>
      <x:c r="B2" t="str">
        <x:v>3fb4c306302f3739d68f3dbaf6f2b339a2d448cf5097f2212c5fd92ea9d90895</x:v>
      </x:c>
    </x:row>
    <x:row r="3">
      <x:c r="A3" t="str">
        <x:v>source_archive_note</x:v>
      </x:c>
      <x:c r="B3" t="str">
        <x:v>Archive historique B2-B : non preuve du HEAD B2-C4</x:v>
      </x:c>
    </x:row>
    <x:row r="4">
      <x:c r="A4" t="str">
        <x:v>base_git_main_attendue</x:v>
      </x:c>
      <x:c r="B4" t="str">
        <x:v>397bc32c042dcd5533296ac7fe76b6a3ad749347</x:v>
      </x:c>
    </x:row>
    <x:row r="5">
      <x:c r="A5" t="str">
        <x:v>base_git_tree_attendue</x:v>
      </x:c>
      <x:c r="B5" t="str">
        <x:v>72215ac28de46795338997be0bb38781274e80f4</x:v>
      </x:c>
    </x:row>
    <x:row r="6">
      <x:c r="A6" t="str">
        <x:v>books/halloween_2026/page_plan.csv_sha256</x:v>
      </x:c>
      <x:c r="B6" t="str">
        <x:v>6dcc6d9f2a23eddc320303e20f9cfb3f70ad9bb25f42b8b5672dc25ba07f6099</x:v>
      </x:c>
    </x:row>
    <x:row r="7">
      <x:c r="A7" t="str">
        <x:v>books/halloween_2026/book.yaml_sha256</x:v>
      </x:c>
      <x:c r="B7" t="str">
        <x:v>b1f0bafdc1097a384f281feb64b7f8cd7cae52cc3e837c4890a38c26da5a51d5</x:v>
      </x:c>
    </x:row>
    <x:row r="8">
      <x:c r="A8" t="str">
        <x:v>docs/EDITORIAL_BIBLE.md_sha256</x:v>
      </x:c>
      <x:c r="B8" t="str">
        <x:v>6852559b9e74de64e4cd6a2acf4c3e7e002ed8ba37d31ce671daaa27c89eda4a</x:v>
      </x:c>
    </x:row>
    <x:row r="9">
      <x:c r="A9" t="str">
        <x:v>docs/QUALITY_GATES.md_sha256</x:v>
      </x:c>
      <x:c r="B9" t="str">
        <x:v>f56684ce9f9cb5f9117565a4d373c29b550be7b39a383467e8d8e794d324c9e3</x:v>
      </x:c>
    </x:row>
  </x:sheetData>
  <x:pageMargins left="0.7" right="0.7" top="0.75" bottom="0.75" header="0.3" footer="0.3"/>
</x:worksheet>
</file>